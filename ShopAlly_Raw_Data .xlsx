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code Scanning" sheetId="1" r:id="rId4"/>
    <sheet state="visible" name="Price Retrieval Latency" sheetId="2" r:id="rId5"/>
    <sheet state="visible" name="Cashier Handoff Latency" sheetId="3" r:id="rId6"/>
  </sheets>
  <definedNames/>
  <calcPr/>
  <extLst>
    <ext uri="GoogleSheetsCustomDataVersion2">
      <go:sheetsCustomData xmlns:go="http://customooxmlschemas.google.com/" r:id="rId7" roundtripDataChecksum="sVCJ+crL91DbBiaPlznt7n4tWtFjkOeLDEaGIKgBmK8="/>
    </ext>
  </extLst>
</workbook>
</file>

<file path=xl/sharedStrings.xml><?xml version="1.0" encoding="utf-8"?>
<sst xmlns="http://schemas.openxmlformats.org/spreadsheetml/2006/main" count="577" uniqueCount="82">
  <si>
    <t>Barcode Scanning Test Results (Table II)</t>
  </si>
  <si>
    <t>Cashier Handoff Latency - Individual Trials (Table V)</t>
  </si>
  <si>
    <t>Price Retrieval Latency - Individual Trials (Table III)</t>
  </si>
  <si>
    <t>Iterasi Pertama atas Pengambilan Data dari 50 Produk yang Sama</t>
  </si>
  <si>
    <t>Trial</t>
  </si>
  <si>
    <t>Latency (ms)</t>
  </si>
  <si>
    <t>Sumber</t>
  </si>
  <si>
    <t>Keterangan Warna</t>
  </si>
  <si>
    <t>No.</t>
  </si>
  <si>
    <t>Product</t>
  </si>
  <si>
    <t>Price (IDR)</t>
  </si>
  <si>
    <t>Result</t>
  </si>
  <si>
    <t>Data di Paper</t>
  </si>
  <si>
    <t>Oreo Chocolate Creme 32.8g</t>
  </si>
  <si>
    <t>Success</t>
  </si>
  <si>
    <t>Pocky Chocolate 22g</t>
  </si>
  <si>
    <t>Data Tambahan</t>
  </si>
  <si>
    <t>Aqua 600 mL</t>
  </si>
  <si>
    <t>Mentos Mint 108g</t>
  </si>
  <si>
    <t>Fanta Can 250 mL</t>
  </si>
  <si>
    <t>Summary Statistics - Data di Paper (Table VI, n=16)</t>
  </si>
  <si>
    <t>Nextar Brownies 80g</t>
  </si>
  <si>
    <t>Ringkasan - Data di Paper (n=15)</t>
  </si>
  <si>
    <t>Summary Statistics - Data di Paper (Table IV, n=15)</t>
  </si>
  <si>
    <t>Air Mineral Air Alam 330 mL</t>
  </si>
  <si>
    <t>Total percobaan</t>
  </si>
  <si>
    <t>Sample size (n)</t>
  </si>
  <si>
    <t>Beng Beng Share It</t>
  </si>
  <si>
    <t>Success rate</t>
  </si>
  <si>
    <t>Mean (ms)</t>
  </si>
  <si>
    <t>Standard deviation (ms)</t>
  </si>
  <si>
    <t>Minimum (ms)</t>
  </si>
  <si>
    <t>Le Mineral 600 mL</t>
  </si>
  <si>
    <t>Fruit Tea Can 318 mL</t>
  </si>
  <si>
    <t>Ringkasan - Data Tambahan (n=85)</t>
  </si>
  <si>
    <t>Maximum (ms)</t>
  </si>
  <si>
    <t>Green Soft Facial Tissue 130 Sheets</t>
  </si>
  <si>
    <t>Summary Statistics - Data Tambahan (n=84)</t>
  </si>
  <si>
    <t>Pocari Sweat</t>
  </si>
  <si>
    <t>Summary Statistics - Data Tambahan (n=85)</t>
  </si>
  <si>
    <t>Milkita Lollipop 108g</t>
  </si>
  <si>
    <t>Ultra Milk 200 mL</t>
  </si>
  <si>
    <t>Ringkasan - Total (Data di Paper + Data Tambahan, n=100)</t>
  </si>
  <si>
    <t>Floridina Orange Coco 350 mL</t>
  </si>
  <si>
    <t xml:space="preserve">DATA TAMBAHAN </t>
  </si>
  <si>
    <t>Kopi Kenangan 220 mL</t>
  </si>
  <si>
    <t>Summary Statistics - Total (Data di Paper + Data Tambahan, n=100)</t>
  </si>
  <si>
    <t>Oatside Mocha 200 mL</t>
  </si>
  <si>
    <t>Hello Panda Chocolate 42 g (box)</t>
  </si>
  <si>
    <t>Tehbotol Sosro 220 mL</t>
  </si>
  <si>
    <t>Goodtime Cookies Double Choco 72 g</t>
  </si>
  <si>
    <t>SilverQueen Chunky Bar Cashew 33 g</t>
  </si>
  <si>
    <t>Cadbury Dairy Milk Chocolate 30 g</t>
  </si>
  <si>
    <t>KitKat 2 Finger Chocolate 17 g</t>
  </si>
  <si>
    <t>Kinder Bueno Chocolate 43 g</t>
  </si>
  <si>
    <t>Choki-Choki Chocolate Paste 10 g</t>
  </si>
  <si>
    <t>Tango Wafer Chocolate 47 g</t>
  </si>
  <si>
    <t>Chocolatos Wafer Roll Chocolate 16 g</t>
  </si>
  <si>
    <t>Beng-Beng Wafer Chocolate 22 g</t>
  </si>
  <si>
    <t>Gery Saluut Malkist Chocolate 100 g</t>
  </si>
  <si>
    <t>Roma Malkist Crackers 135 g</t>
  </si>
  <si>
    <t>Khong Guan Marie Biscuits 125 g</t>
  </si>
  <si>
    <t>Good Time Cookies Original Chocolate Chip 72 g</t>
  </si>
  <si>
    <t>Nextar Nastar Pineapple 42 g</t>
  </si>
  <si>
    <t>Nabati Richoco Wafer 50 g</t>
  </si>
  <si>
    <t>Piattos Sambal Matah 68 g</t>
  </si>
  <si>
    <t>Chitato Sapi Panggang 68 g</t>
  </si>
  <si>
    <t>Qtela Singkong Original 60 g</t>
  </si>
  <si>
    <t>Kusuka Keripik Singkong Original 60 g</t>
  </si>
  <si>
    <t>Garuda Pilus Pedas 95 g</t>
  </si>
  <si>
    <t>Momogi Jagung Bakar 8 g</t>
  </si>
  <si>
    <t>Taro Net Seaweed 36 g</t>
  </si>
  <si>
    <t>Pocky Strawberry 22 g</t>
  </si>
  <si>
    <t>Hello Panda Strawberry 42 g</t>
  </si>
  <si>
    <t>Ritz Crackers Original 100 g</t>
  </si>
  <si>
    <t>Pringles Original 107 g</t>
  </si>
  <si>
    <t>Golda Coffee Cappuccino 200 mL</t>
  </si>
  <si>
    <t>Good Day Originale Cappuccino 250 mL</t>
  </si>
  <si>
    <t>ABC Kopi Susu 200 mL</t>
  </si>
  <si>
    <t>Teh Pucuk Harum 350 mL</t>
  </si>
  <si>
    <t>Frestea Jasmine 350 mL</t>
  </si>
  <si>
    <t>Iterasi Kedua atas Pengambilan Data dari 50 Produk yang Sama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</si>
</sst>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3.0"/>
      <color theme="1"/>
      <name val="Times New Roman"/>
    </font>
    <font>
      <color theme="1"/>
      <name val="Times New Roman"/>
    </font>
    <font>
      <i/>
      <sz val="9.0"/>
      <color rgb="FF595959"/>
      <name val="Times New Roman"/>
    </font>
    <font>
      <b/>
      <sz val="10.0"/>
      <color rgb="FF7F6000"/>
      <name val="Times New Roman"/>
    </font>
    <font>
      <b/>
      <sz val="11.0"/>
      <color rgb="FFFFFFFF"/>
      <name val="Times New Roman"/>
    </font>
    <font/>
    <font>
      <sz val="11.0"/>
      <color theme="1"/>
      <name val="Times New Roman"/>
    </font>
    <font>
      <b/>
      <sz val="13.0"/>
      <color theme="1"/>
      <name val="Arial"/>
    </font>
    <font>
      <sz val="11.0"/>
      <color theme="1"/>
      <name val="Arial"/>
    </font>
    <font>
      <b/>
      <sz val="12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E699"/>
        <bgColor rgb="FFFFE699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8E7CC3"/>
        <bgColor rgb="FF8E7CC3"/>
      </patternFill>
    </fill>
  </fills>
  <borders count="8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left" shrinkToFit="0" vertical="center" wrapText="0"/>
    </xf>
    <xf borderId="2" fillId="3" fontId="5" numFmtId="0" xfId="0" applyAlignment="1" applyBorder="1" applyFill="1" applyFont="1">
      <alignment horizontal="center" shrinkToFit="0" vertical="center" wrapText="0"/>
    </xf>
    <xf borderId="3" fillId="0" fontId="6" numFmtId="0" xfId="0" applyBorder="1" applyFont="1"/>
    <xf borderId="4" fillId="0" fontId="6" numFmtId="0" xfId="0" applyBorder="1" applyFont="1"/>
    <xf borderId="2" fillId="4" fontId="7" numFmtId="0" xfId="0" applyAlignment="1" applyBorder="1" applyFill="1" applyFont="1">
      <alignment horizontal="center" shrinkToFit="0" vertical="center" wrapText="0"/>
    </xf>
    <xf borderId="0" fillId="0" fontId="8" numFmtId="0" xfId="0" applyAlignment="1" applyFont="1">
      <alignment shrinkToFit="0" vertical="bottom" wrapText="0"/>
    </xf>
    <xf borderId="2" fillId="4" fontId="7" numFmtId="0" xfId="0" applyAlignment="1" applyBorder="1" applyFill="1" applyFont="1">
      <alignment horizontal="left" shrinkToFit="0" vertical="center" wrapText="0"/>
    </xf>
    <xf borderId="2" fillId="4" fontId="7" numFmtId="0" xfId="0" applyAlignment="1" applyBorder="1" applyFill="1" applyFont="1">
      <alignment shrinkToFit="0" vertical="bottom" wrapText="0"/>
    </xf>
    <xf borderId="2" fillId="4" fontId="7" numFmtId="3" xfId="0" applyAlignment="1" applyBorder="1" applyFill="1" applyFont="1" applyNumberFormat="1">
      <alignment horizontal="right" shrinkToFit="0" vertical="center" wrapText="0"/>
    </xf>
    <xf borderId="2" fillId="5" fontId="7" numFmtId="0" xfId="0" applyAlignment="1" applyBorder="1" applyFill="1" applyFont="1">
      <alignment shrinkToFit="0" vertical="bottom" wrapText="0"/>
    </xf>
    <xf borderId="2" fillId="4" fontId="9" numFmtId="0" xfId="0" applyAlignment="1" applyBorder="1" applyFill="1" applyFont="1">
      <alignment shrinkToFit="0" vertical="bottom" wrapText="0"/>
    </xf>
    <xf borderId="2" fillId="5" fontId="9" numFmtId="0" xfId="0" applyAlignment="1" applyBorder="1" applyFill="1" applyFont="1">
      <alignment shrinkToFit="0" vertical="bottom" wrapText="0"/>
    </xf>
    <xf borderId="5" fillId="4" fontId="10" numFmtId="0" xfId="0" applyAlignment="1" applyBorder="1" applyFill="1" applyFont="1">
      <alignment shrinkToFit="0" vertical="bottom" wrapText="0"/>
    </xf>
    <xf borderId="6" fillId="0" fontId="6" numFmtId="0" xfId="0" applyBorder="1" applyFont="1"/>
    <xf borderId="7" fillId="0" fontId="7" numFmtId="0" xfId="0" applyAlignment="1" applyBorder="1" applyFont="1">
      <alignment shrinkToFit="0" vertical="bottom" wrapText="0"/>
    </xf>
    <xf borderId="7" fillId="0" fontId="7" numFmtId="1" xfId="0" applyAlignment="1" applyBorder="1" applyFont="1" applyNumberFormat="1">
      <alignment shrinkToFit="0" vertical="bottom" wrapText="0"/>
    </xf>
    <xf borderId="7" fillId="0" fontId="7" numFmtId="9" xfId="0" applyAlignment="1" applyBorder="1" applyFont="1" applyNumberFormat="1">
      <alignment shrinkToFit="0" vertical="bottom" wrapText="0"/>
    </xf>
    <xf borderId="5" fillId="5" fontId="10" numFmtId="0" xfId="0" applyAlignment="1" applyBorder="1" applyFill="1" applyFont="1">
      <alignment shrinkToFit="0" vertical="bottom" wrapText="0"/>
    </xf>
    <xf borderId="5" fillId="6" fontId="10" numFmtId="0" xfId="0" applyAlignment="1" applyBorder="1" applyFill="1" applyFont="1">
      <alignment shrinkToFit="0" vertical="bottom" wrapText="1"/>
    </xf>
    <xf borderId="2" fillId="5" fontId="7" numFmtId="0" xfId="0" applyAlignment="1" applyBorder="1" applyFill="1" applyFont="1">
      <alignment horizontal="center" shrinkToFit="0" vertical="center" wrapText="0"/>
    </xf>
    <xf borderId="2" fillId="5" fontId="7" numFmtId="0" xfId="0" applyAlignment="1" applyBorder="1" applyFill="1" applyFont="1">
      <alignment horizontal="left" shrinkToFit="0" vertical="center" wrapText="0"/>
    </xf>
    <xf borderId="1" fillId="2" fontId="4" numFmtId="0" xfId="0" applyAlignment="1" applyBorder="1" applyFill="1" applyFont="1">
      <alignment horizontal="left" readingOrder="0" shrinkToFit="0" vertical="center" wrapText="0"/>
    </xf>
    <xf borderId="2" fillId="5" fontId="7" numFmtId="3" xfId="0" applyAlignment="1" applyBorder="1" applyFill="1" applyFont="1" applyNumberFormat="1">
      <alignment horizontal="right" shrinkToFit="0" vertical="center" wrapText="0"/>
    </xf>
    <xf borderId="5" fillId="6" fontId="10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4.0"/>
    <col customWidth="1" min="3" max="3" width="16.86"/>
    <col customWidth="1" min="4" max="4" width="12.0"/>
    <col customWidth="1" min="5" max="5" width="16.0"/>
    <col customWidth="1" min="6" max="6" width="8.71"/>
    <col customWidth="1" min="7" max="7" width="36.71"/>
    <col customWidth="1" min="8" max="8" width="22.0"/>
    <col customWidth="1" min="9" max="26" width="8.71"/>
  </cols>
  <sheetData>
    <row r="1">
      <c r="A1" s="1" t="s">
        <v>0</v>
      </c>
      <c r="B1" s="2"/>
      <c r="C1" s="2"/>
      <c r="D1" s="2"/>
      <c r="E1" s="2"/>
    </row>
    <row r="2">
      <c r="A2" s="3"/>
      <c r="B2" s="2"/>
      <c r="C2" s="2"/>
      <c r="D2" s="2"/>
      <c r="E2" s="2"/>
    </row>
    <row r="3">
      <c r="A3" s="2"/>
      <c r="B3" s="2"/>
      <c r="C3" s="2"/>
      <c r="D3" s="2"/>
      <c r="E3" s="2"/>
    </row>
    <row r="4">
      <c r="A4" s="4" t="s">
        <v>3</v>
      </c>
      <c r="B4" s="6"/>
      <c r="C4" s="6"/>
      <c r="D4" s="6"/>
      <c r="E4" s="7"/>
    </row>
    <row r="5">
      <c r="A5" s="5" t="s">
        <v>8</v>
      </c>
      <c r="B5" s="5" t="s">
        <v>9</v>
      </c>
      <c r="C5" s="5" t="s">
        <v>10</v>
      </c>
      <c r="D5" s="5" t="s">
        <v>11</v>
      </c>
      <c r="E5" s="5" t="s">
        <v>6</v>
      </c>
      <c r="G5" s="9" t="s">
        <v>7</v>
      </c>
    </row>
    <row r="6">
      <c r="A6" s="8">
        <v>1.0</v>
      </c>
      <c r="B6" s="10" t="s">
        <v>13</v>
      </c>
      <c r="C6" s="12">
        <v>6000.0</v>
      </c>
      <c r="D6" s="8" t="s">
        <v>14</v>
      </c>
      <c r="E6" s="8" t="s">
        <v>12</v>
      </c>
    </row>
    <row r="7">
      <c r="A7" s="8">
        <v>2.0</v>
      </c>
      <c r="B7" s="10" t="s">
        <v>15</v>
      </c>
      <c r="C7" s="12">
        <v>8000.0</v>
      </c>
      <c r="D7" s="8" t="s">
        <v>14</v>
      </c>
      <c r="E7" s="8" t="s">
        <v>12</v>
      </c>
      <c r="G7" s="14" t="s">
        <v>12</v>
      </c>
    </row>
    <row r="8">
      <c r="A8" s="8">
        <v>3.0</v>
      </c>
      <c r="B8" s="10" t="s">
        <v>17</v>
      </c>
      <c r="C8" s="12">
        <v>6000.0</v>
      </c>
      <c r="D8" s="8" t="s">
        <v>14</v>
      </c>
      <c r="E8" s="8" t="s">
        <v>12</v>
      </c>
      <c r="G8" s="15" t="s">
        <v>16</v>
      </c>
    </row>
    <row r="9">
      <c r="A9" s="8">
        <v>4.0</v>
      </c>
      <c r="B9" s="10" t="s">
        <v>18</v>
      </c>
      <c r="C9" s="12">
        <v>12000.0</v>
      </c>
      <c r="D9" s="8" t="s">
        <v>14</v>
      </c>
      <c r="E9" s="8" t="s">
        <v>12</v>
      </c>
    </row>
    <row r="10">
      <c r="A10" s="8">
        <v>5.0</v>
      </c>
      <c r="B10" s="10" t="s">
        <v>19</v>
      </c>
      <c r="C10" s="12">
        <v>6000.0</v>
      </c>
      <c r="D10" s="8" t="s">
        <v>14</v>
      </c>
      <c r="E10" s="8" t="s">
        <v>12</v>
      </c>
    </row>
    <row r="11">
      <c r="A11" s="8">
        <v>6.0</v>
      </c>
      <c r="B11" s="10" t="s">
        <v>21</v>
      </c>
      <c r="C11" s="12">
        <v>11000.0</v>
      </c>
      <c r="D11" s="8" t="s">
        <v>14</v>
      </c>
      <c r="E11" s="8" t="s">
        <v>12</v>
      </c>
      <c r="G11" s="16" t="s">
        <v>22</v>
      </c>
      <c r="H11" s="17"/>
      <c r="I11" s="2"/>
    </row>
    <row r="12">
      <c r="A12" s="8">
        <v>7.0</v>
      </c>
      <c r="B12" s="10" t="s">
        <v>24</v>
      </c>
      <c r="C12" s="12">
        <v>2900.0</v>
      </c>
      <c r="D12" s="8" t="s">
        <v>14</v>
      </c>
      <c r="E12" s="8" t="s">
        <v>12</v>
      </c>
      <c r="G12" s="18" t="s">
        <v>25</v>
      </c>
      <c r="H12" s="18">
        <f>COUNTIF(E6:E55,"Data di Paper")+COUNTIF(E60:E109,"Data di Paper")</f>
        <v>15</v>
      </c>
      <c r="I12" s="2"/>
    </row>
    <row r="13">
      <c r="A13" s="8">
        <v>8.0</v>
      </c>
      <c r="B13" s="10" t="s">
        <v>27</v>
      </c>
      <c r="C13" s="12">
        <v>15000.0</v>
      </c>
      <c r="D13" s="8" t="s">
        <v>14</v>
      </c>
      <c r="E13" s="8" t="s">
        <v>12</v>
      </c>
      <c r="G13" s="18" t="s">
        <v>28</v>
      </c>
      <c r="H13" s="20">
        <f>(COUNTIFS(E6:E55,"Data di Paper",D6:D55,"Success")+COUNTIFS(E60:E109,"Data di Paper",D60:D109,"Success"))/(COUNTIF(E6:E55,"Data di Paper")+COUNTIF(E60:E109,"Data di Paper"))</f>
        <v>1</v>
      </c>
      <c r="I13" s="2"/>
    </row>
    <row r="14">
      <c r="A14" s="8">
        <v>9.0</v>
      </c>
      <c r="B14" s="10" t="s">
        <v>32</v>
      </c>
      <c r="C14" s="12">
        <v>5000.0</v>
      </c>
      <c r="D14" s="8" t="s">
        <v>14</v>
      </c>
      <c r="E14" s="8" t="s">
        <v>12</v>
      </c>
      <c r="G14" s="2"/>
      <c r="H14" s="2"/>
      <c r="I14" s="2"/>
    </row>
    <row r="15">
      <c r="A15" s="8">
        <v>10.0</v>
      </c>
      <c r="B15" s="10" t="s">
        <v>33</v>
      </c>
      <c r="C15" s="12">
        <v>6000.0</v>
      </c>
      <c r="D15" s="8" t="s">
        <v>14</v>
      </c>
      <c r="E15" s="8" t="s">
        <v>12</v>
      </c>
      <c r="G15" s="21" t="s">
        <v>34</v>
      </c>
      <c r="H15" s="17"/>
      <c r="I15" s="2"/>
    </row>
    <row r="16">
      <c r="A16" s="8">
        <v>11.0</v>
      </c>
      <c r="B16" s="10" t="s">
        <v>36</v>
      </c>
      <c r="C16" s="12">
        <v>9000.0</v>
      </c>
      <c r="D16" s="8" t="s">
        <v>14</v>
      </c>
      <c r="E16" s="8" t="s">
        <v>12</v>
      </c>
      <c r="G16" s="18" t="s">
        <v>25</v>
      </c>
      <c r="H16" s="18">
        <f>COUNTIF(E6:E55,"Data Tambahan")+COUNTIF(E60:E109,"Data Tambahan")</f>
        <v>85</v>
      </c>
      <c r="I16" s="2"/>
    </row>
    <row r="17">
      <c r="A17" s="8">
        <v>12.0</v>
      </c>
      <c r="B17" s="10" t="s">
        <v>38</v>
      </c>
      <c r="C17" s="12">
        <v>6000.0</v>
      </c>
      <c r="D17" s="8" t="s">
        <v>14</v>
      </c>
      <c r="E17" s="8" t="s">
        <v>12</v>
      </c>
      <c r="G17" s="18" t="s">
        <v>28</v>
      </c>
      <c r="H17" s="20">
        <f>(COUNTIFS(E6:E55,"Data Tambahan",D6:D55,"Success")+COUNTIFS(E60:E109,"Data Tambahan",D60:D109,"Success"))/(COUNTIF(E6:E55,"Data Tambahan")+COUNTIF(E60:E109,"Data Tambahan"))</f>
        <v>1</v>
      </c>
      <c r="I17" s="2"/>
    </row>
    <row r="18">
      <c r="A18" s="8">
        <v>13.0</v>
      </c>
      <c r="B18" s="10" t="s">
        <v>40</v>
      </c>
      <c r="C18" s="12">
        <v>15000.0</v>
      </c>
      <c r="D18" s="8" t="s">
        <v>14</v>
      </c>
      <c r="E18" s="8" t="s">
        <v>12</v>
      </c>
      <c r="G18" s="2"/>
      <c r="H18" s="2"/>
      <c r="I18" s="2"/>
    </row>
    <row r="19">
      <c r="A19" s="8">
        <v>14.0</v>
      </c>
      <c r="B19" s="10" t="s">
        <v>41</v>
      </c>
      <c r="C19" s="12">
        <v>7000.0</v>
      </c>
      <c r="D19" s="8" t="s">
        <v>14</v>
      </c>
      <c r="E19" s="8" t="s">
        <v>12</v>
      </c>
      <c r="G19" s="22" t="s">
        <v>42</v>
      </c>
      <c r="H19" s="17"/>
      <c r="I19" s="2"/>
    </row>
    <row r="20">
      <c r="A20" s="8">
        <v>15.0</v>
      </c>
      <c r="B20" s="10" t="s">
        <v>43</v>
      </c>
      <c r="C20" s="12">
        <v>4000.0</v>
      </c>
      <c r="D20" s="8" t="s">
        <v>14</v>
      </c>
      <c r="E20" s="8" t="s">
        <v>12</v>
      </c>
      <c r="G20" s="18" t="s">
        <v>25</v>
      </c>
      <c r="H20" s="18">
        <f>COUNTA(D6:D55)+COUNTA(D60:D109)</f>
        <v>100</v>
      </c>
      <c r="I20" s="2"/>
    </row>
    <row r="21" ht="15.75" customHeight="1">
      <c r="A21" s="23">
        <v>16.0</v>
      </c>
      <c r="B21" s="24" t="s">
        <v>45</v>
      </c>
      <c r="C21" s="26">
        <v>10800.0</v>
      </c>
      <c r="D21" s="23" t="s">
        <v>14</v>
      </c>
      <c r="E21" s="23" t="s">
        <v>16</v>
      </c>
      <c r="G21" s="18" t="s">
        <v>28</v>
      </c>
      <c r="H21" s="20">
        <f>(COUNTIF(D6:D55,"Success")+COUNTIF(D60:D109,"Success"))/(COUNTA(D6:D55)+COUNTA(D60:D109))</f>
        <v>1</v>
      </c>
      <c r="I21" s="2"/>
    </row>
    <row r="22" ht="15.75" customHeight="1">
      <c r="A22" s="23">
        <v>17.0</v>
      </c>
      <c r="B22" s="24" t="s">
        <v>47</v>
      </c>
      <c r="C22" s="26">
        <v>9000.0</v>
      </c>
      <c r="D22" s="23" t="s">
        <v>14</v>
      </c>
      <c r="E22" s="23" t="s">
        <v>16</v>
      </c>
    </row>
    <row r="23" ht="15.75" customHeight="1">
      <c r="A23" s="23">
        <v>18.0</v>
      </c>
      <c r="B23" s="24" t="s">
        <v>48</v>
      </c>
      <c r="C23" s="26">
        <v>9890.0</v>
      </c>
      <c r="D23" s="23" t="s">
        <v>14</v>
      </c>
      <c r="E23" s="23" t="s">
        <v>16</v>
      </c>
    </row>
    <row r="24" ht="15.75" customHeight="1">
      <c r="A24" s="23">
        <v>19.0</v>
      </c>
      <c r="B24" s="24" t="s">
        <v>49</v>
      </c>
      <c r="C24" s="26">
        <v>7000.0</v>
      </c>
      <c r="D24" s="23" t="s">
        <v>14</v>
      </c>
      <c r="E24" s="23" t="s">
        <v>16</v>
      </c>
    </row>
    <row r="25" ht="15.75" customHeight="1">
      <c r="A25" s="23">
        <v>20.0</v>
      </c>
      <c r="B25" s="24" t="s">
        <v>50</v>
      </c>
      <c r="C25" s="26">
        <v>9600.0</v>
      </c>
      <c r="D25" s="23" t="s">
        <v>14</v>
      </c>
      <c r="E25" s="23" t="s">
        <v>16</v>
      </c>
    </row>
    <row r="26" ht="15.75" customHeight="1">
      <c r="A26" s="23">
        <v>21.0</v>
      </c>
      <c r="B26" s="24" t="s">
        <v>51</v>
      </c>
      <c r="C26" s="26">
        <v>9600.0</v>
      </c>
      <c r="D26" s="23" t="s">
        <v>14</v>
      </c>
      <c r="E26" s="23" t="s">
        <v>16</v>
      </c>
    </row>
    <row r="27" ht="15.75" customHeight="1">
      <c r="A27" s="23">
        <v>22.0</v>
      </c>
      <c r="B27" s="24" t="s">
        <v>52</v>
      </c>
      <c r="C27" s="26">
        <v>7000.0</v>
      </c>
      <c r="D27" s="23" t="s">
        <v>14</v>
      </c>
      <c r="E27" s="23" t="s">
        <v>16</v>
      </c>
    </row>
    <row r="28" ht="15.75" customHeight="1">
      <c r="A28" s="23">
        <v>23.0</v>
      </c>
      <c r="B28" s="24" t="s">
        <v>53</v>
      </c>
      <c r="C28" s="26">
        <v>6900.0</v>
      </c>
      <c r="D28" s="23" t="s">
        <v>14</v>
      </c>
      <c r="E28" s="23" t="s">
        <v>16</v>
      </c>
    </row>
    <row r="29" ht="15.75" customHeight="1">
      <c r="A29" s="23">
        <v>24.0</v>
      </c>
      <c r="B29" s="24" t="s">
        <v>54</v>
      </c>
      <c r="C29" s="26">
        <v>12000.0</v>
      </c>
      <c r="D29" s="23" t="s">
        <v>14</v>
      </c>
      <c r="E29" s="23" t="s">
        <v>16</v>
      </c>
    </row>
    <row r="30" ht="15.75" customHeight="1">
      <c r="A30" s="23">
        <v>25.0</v>
      </c>
      <c r="B30" s="24" t="s">
        <v>55</v>
      </c>
      <c r="C30" s="26">
        <v>1500.0</v>
      </c>
      <c r="D30" s="23" t="s">
        <v>14</v>
      </c>
      <c r="E30" s="23" t="s">
        <v>16</v>
      </c>
    </row>
    <row r="31" ht="15.75" customHeight="1">
      <c r="A31" s="23">
        <v>26.0</v>
      </c>
      <c r="B31" s="24" t="s">
        <v>56</v>
      </c>
      <c r="C31" s="26">
        <v>3000.0</v>
      </c>
      <c r="D31" s="23" t="s">
        <v>14</v>
      </c>
      <c r="E31" s="23" t="s">
        <v>16</v>
      </c>
    </row>
    <row r="32" ht="15.75" customHeight="1">
      <c r="A32" s="23">
        <v>27.0</v>
      </c>
      <c r="B32" s="24" t="s">
        <v>57</v>
      </c>
      <c r="C32" s="26">
        <v>1500.0</v>
      </c>
      <c r="D32" s="23" t="s">
        <v>14</v>
      </c>
      <c r="E32" s="23" t="s">
        <v>16</v>
      </c>
    </row>
    <row r="33" ht="15.75" customHeight="1">
      <c r="A33" s="23">
        <v>28.0</v>
      </c>
      <c r="B33" s="24" t="s">
        <v>58</v>
      </c>
      <c r="C33" s="26">
        <v>2500.0</v>
      </c>
      <c r="D33" s="23" t="s">
        <v>14</v>
      </c>
      <c r="E33" s="23" t="s">
        <v>16</v>
      </c>
    </row>
    <row r="34" ht="15.75" customHeight="1">
      <c r="A34" s="23">
        <v>29.0</v>
      </c>
      <c r="B34" s="24" t="s">
        <v>59</v>
      </c>
      <c r="C34" s="26">
        <v>7800.0</v>
      </c>
      <c r="D34" s="23" t="s">
        <v>14</v>
      </c>
      <c r="E34" s="23" t="s">
        <v>16</v>
      </c>
    </row>
    <row r="35" ht="15.75" customHeight="1">
      <c r="A35" s="23">
        <v>30.0</v>
      </c>
      <c r="B35" s="24" t="s">
        <v>60</v>
      </c>
      <c r="C35" s="26">
        <v>8600.0</v>
      </c>
      <c r="D35" s="23" t="s">
        <v>14</v>
      </c>
      <c r="E35" s="23" t="s">
        <v>16</v>
      </c>
    </row>
    <row r="36" ht="15.75" customHeight="1">
      <c r="A36" s="23">
        <v>31.0</v>
      </c>
      <c r="B36" s="24" t="s">
        <v>61</v>
      </c>
      <c r="C36" s="26">
        <v>7000.0</v>
      </c>
      <c r="D36" s="23" t="s">
        <v>14</v>
      </c>
      <c r="E36" s="23" t="s">
        <v>16</v>
      </c>
    </row>
    <row r="37" ht="15.75" customHeight="1">
      <c r="A37" s="23">
        <v>32.0</v>
      </c>
      <c r="B37" s="24" t="s">
        <v>62</v>
      </c>
      <c r="C37" s="26">
        <v>9900.0</v>
      </c>
      <c r="D37" s="23" t="s">
        <v>14</v>
      </c>
      <c r="E37" s="23" t="s">
        <v>16</v>
      </c>
    </row>
    <row r="38" ht="15.75" customHeight="1">
      <c r="A38" s="23">
        <v>33.0</v>
      </c>
      <c r="B38" s="24" t="s">
        <v>63</v>
      </c>
      <c r="C38" s="26">
        <v>1700.0</v>
      </c>
      <c r="D38" s="23" t="s">
        <v>14</v>
      </c>
      <c r="E38" s="23" t="s">
        <v>16</v>
      </c>
    </row>
    <row r="39" ht="15.75" customHeight="1">
      <c r="A39" s="23">
        <v>34.0</v>
      </c>
      <c r="B39" s="24" t="s">
        <v>64</v>
      </c>
      <c r="C39" s="26">
        <v>4000.0</v>
      </c>
      <c r="D39" s="23" t="s">
        <v>14</v>
      </c>
      <c r="E39" s="23" t="s">
        <v>16</v>
      </c>
    </row>
    <row r="40" ht="15.75" customHeight="1">
      <c r="A40" s="23">
        <v>35.0</v>
      </c>
      <c r="B40" s="24" t="s">
        <v>65</v>
      </c>
      <c r="C40" s="26">
        <v>8000.0</v>
      </c>
      <c r="D40" s="23" t="s">
        <v>14</v>
      </c>
      <c r="E40" s="23" t="s">
        <v>16</v>
      </c>
    </row>
    <row r="41" ht="15.75" customHeight="1">
      <c r="A41" s="23">
        <v>36.0</v>
      </c>
      <c r="B41" s="24" t="s">
        <v>66</v>
      </c>
      <c r="C41" s="26">
        <v>10000.0</v>
      </c>
      <c r="D41" s="23" t="s">
        <v>14</v>
      </c>
      <c r="E41" s="23" t="s">
        <v>16</v>
      </c>
    </row>
    <row r="42" ht="15.75" customHeight="1">
      <c r="A42" s="23">
        <v>37.0</v>
      </c>
      <c r="B42" s="24" t="s">
        <v>67</v>
      </c>
      <c r="C42" s="26">
        <v>5000.0</v>
      </c>
      <c r="D42" s="23" t="s">
        <v>14</v>
      </c>
      <c r="E42" s="23" t="s">
        <v>16</v>
      </c>
    </row>
    <row r="43" ht="15.75" customHeight="1">
      <c r="A43" s="23">
        <v>38.0</v>
      </c>
      <c r="B43" s="24" t="s">
        <v>68</v>
      </c>
      <c r="C43" s="26">
        <v>5000.0</v>
      </c>
      <c r="D43" s="23" t="s">
        <v>14</v>
      </c>
      <c r="E43" s="23" t="s">
        <v>16</v>
      </c>
    </row>
    <row r="44" ht="15.75" customHeight="1">
      <c r="A44" s="23">
        <v>39.0</v>
      </c>
      <c r="B44" s="24" t="s">
        <v>69</v>
      </c>
      <c r="C44" s="26">
        <v>7000.0</v>
      </c>
      <c r="D44" s="23" t="s">
        <v>14</v>
      </c>
      <c r="E44" s="23" t="s">
        <v>16</v>
      </c>
    </row>
    <row r="45" ht="15.75" customHeight="1">
      <c r="A45" s="23">
        <v>40.0</v>
      </c>
      <c r="B45" s="24" t="s">
        <v>70</v>
      </c>
      <c r="C45" s="26">
        <v>1000.0</v>
      </c>
      <c r="D45" s="23" t="s">
        <v>14</v>
      </c>
      <c r="E45" s="23" t="s">
        <v>16</v>
      </c>
    </row>
    <row r="46" ht="15.75" customHeight="1">
      <c r="A46" s="23">
        <v>41.0</v>
      </c>
      <c r="B46" s="24" t="s">
        <v>71</v>
      </c>
      <c r="C46" s="26">
        <v>3000.0</v>
      </c>
      <c r="D46" s="23" t="s">
        <v>14</v>
      </c>
      <c r="E46" s="23" t="s">
        <v>16</v>
      </c>
    </row>
    <row r="47" ht="15.75" customHeight="1">
      <c r="A47" s="23">
        <v>42.0</v>
      </c>
      <c r="B47" s="24" t="s">
        <v>72</v>
      </c>
      <c r="C47" s="26">
        <v>5000.0</v>
      </c>
      <c r="D47" s="23" t="s">
        <v>14</v>
      </c>
      <c r="E47" s="23" t="s">
        <v>16</v>
      </c>
    </row>
    <row r="48" ht="15.75" customHeight="1">
      <c r="A48" s="23">
        <v>43.0</v>
      </c>
      <c r="B48" s="24" t="s">
        <v>73</v>
      </c>
      <c r="C48" s="26">
        <v>8000.0</v>
      </c>
      <c r="D48" s="23" t="s">
        <v>14</v>
      </c>
      <c r="E48" s="23" t="s">
        <v>16</v>
      </c>
    </row>
    <row r="49" ht="15.75" customHeight="1">
      <c r="A49" s="23">
        <v>44.0</v>
      </c>
      <c r="B49" s="24" t="s">
        <v>74</v>
      </c>
      <c r="C49" s="26">
        <v>10000.0</v>
      </c>
      <c r="D49" s="23" t="s">
        <v>14</v>
      </c>
      <c r="E49" s="23" t="s">
        <v>16</v>
      </c>
    </row>
    <row r="50" ht="15.75" customHeight="1">
      <c r="A50" s="23">
        <v>45.0</v>
      </c>
      <c r="B50" s="24" t="s">
        <v>75</v>
      </c>
      <c r="C50" s="26">
        <v>18000.0</v>
      </c>
      <c r="D50" s="23" t="s">
        <v>14</v>
      </c>
      <c r="E50" s="23" t="s">
        <v>16</v>
      </c>
    </row>
    <row r="51" ht="15.75" customHeight="1">
      <c r="A51" s="23">
        <v>46.0</v>
      </c>
      <c r="B51" s="24" t="s">
        <v>76</v>
      </c>
      <c r="C51" s="26">
        <v>4200.0</v>
      </c>
      <c r="D51" s="23" t="s">
        <v>14</v>
      </c>
      <c r="E51" s="23" t="s">
        <v>16</v>
      </c>
    </row>
    <row r="52" ht="15.75" customHeight="1">
      <c r="A52" s="23">
        <v>47.0</v>
      </c>
      <c r="B52" s="24" t="s">
        <v>77</v>
      </c>
      <c r="C52" s="26">
        <v>7200.0</v>
      </c>
      <c r="D52" s="23" t="s">
        <v>14</v>
      </c>
      <c r="E52" s="23" t="s">
        <v>16</v>
      </c>
    </row>
    <row r="53" ht="15.75" customHeight="1">
      <c r="A53" s="23">
        <v>48.0</v>
      </c>
      <c r="B53" s="24" t="s">
        <v>78</v>
      </c>
      <c r="C53" s="26">
        <v>4200.0</v>
      </c>
      <c r="D53" s="23" t="s">
        <v>14</v>
      </c>
      <c r="E53" s="23" t="s">
        <v>16</v>
      </c>
    </row>
    <row r="54" ht="15.75" customHeight="1">
      <c r="A54" s="23">
        <v>49.0</v>
      </c>
      <c r="B54" s="24" t="s">
        <v>79</v>
      </c>
      <c r="C54" s="26">
        <v>4000.0</v>
      </c>
      <c r="D54" s="23" t="s">
        <v>14</v>
      </c>
      <c r="E54" s="23" t="s">
        <v>16</v>
      </c>
    </row>
    <row r="55" ht="15.75" customHeight="1">
      <c r="A55" s="23">
        <v>50.0</v>
      </c>
      <c r="B55" s="24" t="s">
        <v>80</v>
      </c>
      <c r="C55" s="26">
        <v>4500.0</v>
      </c>
      <c r="D55" s="23" t="s">
        <v>14</v>
      </c>
      <c r="E55" s="23" t="s">
        <v>16</v>
      </c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4" t="s">
        <v>81</v>
      </c>
      <c r="B58" s="6"/>
      <c r="C58" s="6"/>
      <c r="D58" s="6"/>
      <c r="E58" s="7"/>
    </row>
    <row r="59" ht="15.75" customHeight="1">
      <c r="A59" s="5" t="s">
        <v>8</v>
      </c>
      <c r="B59" s="5" t="s">
        <v>9</v>
      </c>
      <c r="C59" s="5" t="s">
        <v>10</v>
      </c>
      <c r="D59" s="5" t="s">
        <v>11</v>
      </c>
      <c r="E59" s="5" t="s">
        <v>6</v>
      </c>
    </row>
    <row r="60" ht="15.75" customHeight="1">
      <c r="A60" s="23">
        <v>1.0</v>
      </c>
      <c r="B60" s="24" t="s">
        <v>13</v>
      </c>
      <c r="C60" s="26">
        <v>6000.0</v>
      </c>
      <c r="D60" s="23" t="s">
        <v>14</v>
      </c>
      <c r="E60" s="23" t="s">
        <v>16</v>
      </c>
    </row>
    <row r="61" ht="15.75" customHeight="1">
      <c r="A61" s="23">
        <v>2.0</v>
      </c>
      <c r="B61" s="24" t="s">
        <v>15</v>
      </c>
      <c r="C61" s="26">
        <v>8000.0</v>
      </c>
      <c r="D61" s="23" t="s">
        <v>14</v>
      </c>
      <c r="E61" s="23" t="s">
        <v>16</v>
      </c>
    </row>
    <row r="62" ht="15.75" customHeight="1">
      <c r="A62" s="23">
        <v>3.0</v>
      </c>
      <c r="B62" s="24" t="s">
        <v>17</v>
      </c>
      <c r="C62" s="26">
        <v>6000.0</v>
      </c>
      <c r="D62" s="23" t="s">
        <v>14</v>
      </c>
      <c r="E62" s="23" t="s">
        <v>16</v>
      </c>
    </row>
    <row r="63" ht="15.75" customHeight="1">
      <c r="A63" s="23">
        <v>4.0</v>
      </c>
      <c r="B63" s="24" t="s">
        <v>18</v>
      </c>
      <c r="C63" s="26">
        <v>12000.0</v>
      </c>
      <c r="D63" s="23" t="s">
        <v>14</v>
      </c>
      <c r="E63" s="23" t="s">
        <v>16</v>
      </c>
    </row>
    <row r="64" ht="15.75" customHeight="1">
      <c r="A64" s="23">
        <v>5.0</v>
      </c>
      <c r="B64" s="24" t="s">
        <v>19</v>
      </c>
      <c r="C64" s="26">
        <v>6000.0</v>
      </c>
      <c r="D64" s="23" t="s">
        <v>14</v>
      </c>
      <c r="E64" s="23" t="s">
        <v>16</v>
      </c>
    </row>
    <row r="65" ht="15.75" customHeight="1">
      <c r="A65" s="23">
        <v>6.0</v>
      </c>
      <c r="B65" s="24" t="s">
        <v>21</v>
      </c>
      <c r="C65" s="26">
        <v>11000.0</v>
      </c>
      <c r="D65" s="23" t="s">
        <v>14</v>
      </c>
      <c r="E65" s="23" t="s">
        <v>16</v>
      </c>
    </row>
    <row r="66" ht="15.75" customHeight="1">
      <c r="A66" s="23">
        <v>7.0</v>
      </c>
      <c r="B66" s="24" t="s">
        <v>24</v>
      </c>
      <c r="C66" s="26">
        <v>2900.0</v>
      </c>
      <c r="D66" s="23" t="s">
        <v>14</v>
      </c>
      <c r="E66" s="23" t="s">
        <v>16</v>
      </c>
    </row>
    <row r="67" ht="15.75" customHeight="1">
      <c r="A67" s="23">
        <v>8.0</v>
      </c>
      <c r="B67" s="24" t="s">
        <v>27</v>
      </c>
      <c r="C67" s="26">
        <v>15000.0</v>
      </c>
      <c r="D67" s="23" t="s">
        <v>14</v>
      </c>
      <c r="E67" s="23" t="s">
        <v>16</v>
      </c>
    </row>
    <row r="68" ht="15.75" customHeight="1">
      <c r="A68" s="23">
        <v>9.0</v>
      </c>
      <c r="B68" s="24" t="s">
        <v>32</v>
      </c>
      <c r="C68" s="26">
        <v>5000.0</v>
      </c>
      <c r="D68" s="23" t="s">
        <v>14</v>
      </c>
      <c r="E68" s="23" t="s">
        <v>16</v>
      </c>
    </row>
    <row r="69" ht="15.75" customHeight="1">
      <c r="A69" s="23">
        <v>10.0</v>
      </c>
      <c r="B69" s="24" t="s">
        <v>33</v>
      </c>
      <c r="C69" s="26">
        <v>6000.0</v>
      </c>
      <c r="D69" s="23" t="s">
        <v>14</v>
      </c>
      <c r="E69" s="23" t="s">
        <v>16</v>
      </c>
    </row>
    <row r="70" ht="15.75" customHeight="1">
      <c r="A70" s="23">
        <v>11.0</v>
      </c>
      <c r="B70" s="24" t="s">
        <v>36</v>
      </c>
      <c r="C70" s="26">
        <v>9000.0</v>
      </c>
      <c r="D70" s="23" t="s">
        <v>14</v>
      </c>
      <c r="E70" s="23" t="s">
        <v>16</v>
      </c>
    </row>
    <row r="71" ht="15.75" customHeight="1">
      <c r="A71" s="23">
        <v>12.0</v>
      </c>
      <c r="B71" s="24" t="s">
        <v>38</v>
      </c>
      <c r="C71" s="26">
        <v>6000.0</v>
      </c>
      <c r="D71" s="23" t="s">
        <v>14</v>
      </c>
      <c r="E71" s="23" t="s">
        <v>16</v>
      </c>
    </row>
    <row r="72" ht="15.75" customHeight="1">
      <c r="A72" s="23">
        <v>13.0</v>
      </c>
      <c r="B72" s="24" t="s">
        <v>40</v>
      </c>
      <c r="C72" s="26">
        <v>15000.0</v>
      </c>
      <c r="D72" s="23" t="s">
        <v>14</v>
      </c>
      <c r="E72" s="23" t="s">
        <v>16</v>
      </c>
    </row>
    <row r="73" ht="15.75" customHeight="1">
      <c r="A73" s="23">
        <v>14.0</v>
      </c>
      <c r="B73" s="24" t="s">
        <v>41</v>
      </c>
      <c r="C73" s="26">
        <v>7000.0</v>
      </c>
      <c r="D73" s="23" t="s">
        <v>14</v>
      </c>
      <c r="E73" s="23" t="s">
        <v>16</v>
      </c>
    </row>
    <row r="74" ht="15.75" customHeight="1">
      <c r="A74" s="23">
        <v>15.0</v>
      </c>
      <c r="B74" s="24" t="s">
        <v>43</v>
      </c>
      <c r="C74" s="26">
        <v>4000.0</v>
      </c>
      <c r="D74" s="23" t="s">
        <v>14</v>
      </c>
      <c r="E74" s="23" t="s">
        <v>16</v>
      </c>
    </row>
    <row r="75" ht="15.75" customHeight="1">
      <c r="A75" s="23">
        <v>16.0</v>
      </c>
      <c r="B75" s="24" t="s">
        <v>45</v>
      </c>
      <c r="C75" s="26">
        <v>10800.0</v>
      </c>
      <c r="D75" s="23" t="s">
        <v>14</v>
      </c>
      <c r="E75" s="23" t="s">
        <v>16</v>
      </c>
    </row>
    <row r="76" ht="15.75" customHeight="1">
      <c r="A76" s="23">
        <v>17.0</v>
      </c>
      <c r="B76" s="24" t="s">
        <v>47</v>
      </c>
      <c r="C76" s="26">
        <v>9000.0</v>
      </c>
      <c r="D76" s="23" t="s">
        <v>14</v>
      </c>
      <c r="E76" s="23" t="s">
        <v>16</v>
      </c>
    </row>
    <row r="77" ht="15.75" customHeight="1">
      <c r="A77" s="23">
        <v>18.0</v>
      </c>
      <c r="B77" s="24" t="s">
        <v>48</v>
      </c>
      <c r="C77" s="26">
        <v>9890.0</v>
      </c>
      <c r="D77" s="23" t="s">
        <v>14</v>
      </c>
      <c r="E77" s="23" t="s">
        <v>16</v>
      </c>
    </row>
    <row r="78" ht="15.75" customHeight="1">
      <c r="A78" s="23">
        <v>19.0</v>
      </c>
      <c r="B78" s="24" t="s">
        <v>49</v>
      </c>
      <c r="C78" s="26">
        <v>7000.0</v>
      </c>
      <c r="D78" s="23" t="s">
        <v>14</v>
      </c>
      <c r="E78" s="23" t="s">
        <v>16</v>
      </c>
    </row>
    <row r="79" ht="15.75" customHeight="1">
      <c r="A79" s="23">
        <v>20.0</v>
      </c>
      <c r="B79" s="24" t="s">
        <v>50</v>
      </c>
      <c r="C79" s="26">
        <v>9600.0</v>
      </c>
      <c r="D79" s="23" t="s">
        <v>14</v>
      </c>
      <c r="E79" s="23" t="s">
        <v>16</v>
      </c>
    </row>
    <row r="80" ht="15.75" customHeight="1">
      <c r="A80" s="23">
        <v>21.0</v>
      </c>
      <c r="B80" s="24" t="s">
        <v>51</v>
      </c>
      <c r="C80" s="26">
        <v>9600.0</v>
      </c>
      <c r="D80" s="23" t="s">
        <v>14</v>
      </c>
      <c r="E80" s="23" t="s">
        <v>16</v>
      </c>
    </row>
    <row r="81" ht="15.75" customHeight="1">
      <c r="A81" s="23">
        <v>22.0</v>
      </c>
      <c r="B81" s="24" t="s">
        <v>52</v>
      </c>
      <c r="C81" s="26">
        <v>7000.0</v>
      </c>
      <c r="D81" s="23" t="s">
        <v>14</v>
      </c>
      <c r="E81" s="23" t="s">
        <v>16</v>
      </c>
    </row>
    <row r="82" ht="15.75" customHeight="1">
      <c r="A82" s="23">
        <v>23.0</v>
      </c>
      <c r="B82" s="24" t="s">
        <v>53</v>
      </c>
      <c r="C82" s="26">
        <v>6900.0</v>
      </c>
      <c r="D82" s="23" t="s">
        <v>14</v>
      </c>
      <c r="E82" s="23" t="s">
        <v>16</v>
      </c>
    </row>
    <row r="83" ht="15.75" customHeight="1">
      <c r="A83" s="23">
        <v>24.0</v>
      </c>
      <c r="B83" s="24" t="s">
        <v>54</v>
      </c>
      <c r="C83" s="26">
        <v>12000.0</v>
      </c>
      <c r="D83" s="23" t="s">
        <v>14</v>
      </c>
      <c r="E83" s="23" t="s">
        <v>16</v>
      </c>
    </row>
    <row r="84" ht="15.75" customHeight="1">
      <c r="A84" s="23">
        <v>25.0</v>
      </c>
      <c r="B84" s="24" t="s">
        <v>55</v>
      </c>
      <c r="C84" s="26">
        <v>1500.0</v>
      </c>
      <c r="D84" s="23" t="s">
        <v>14</v>
      </c>
      <c r="E84" s="23" t="s">
        <v>16</v>
      </c>
    </row>
    <row r="85" ht="15.75" customHeight="1">
      <c r="A85" s="23">
        <v>26.0</v>
      </c>
      <c r="B85" s="24" t="s">
        <v>56</v>
      </c>
      <c r="C85" s="26">
        <v>3000.0</v>
      </c>
      <c r="D85" s="23" t="s">
        <v>14</v>
      </c>
      <c r="E85" s="23" t="s">
        <v>16</v>
      </c>
    </row>
    <row r="86" ht="15.75" customHeight="1">
      <c r="A86" s="23">
        <v>27.0</v>
      </c>
      <c r="B86" s="24" t="s">
        <v>57</v>
      </c>
      <c r="C86" s="26">
        <v>1500.0</v>
      </c>
      <c r="D86" s="23" t="s">
        <v>14</v>
      </c>
      <c r="E86" s="23" t="s">
        <v>16</v>
      </c>
    </row>
    <row r="87" ht="15.75" customHeight="1">
      <c r="A87" s="23">
        <v>28.0</v>
      </c>
      <c r="B87" s="24" t="s">
        <v>58</v>
      </c>
      <c r="C87" s="26">
        <v>2500.0</v>
      </c>
      <c r="D87" s="23" t="s">
        <v>14</v>
      </c>
      <c r="E87" s="23" t="s">
        <v>16</v>
      </c>
    </row>
    <row r="88" ht="15.75" customHeight="1">
      <c r="A88" s="23">
        <v>29.0</v>
      </c>
      <c r="B88" s="24" t="s">
        <v>59</v>
      </c>
      <c r="C88" s="26">
        <v>7800.0</v>
      </c>
      <c r="D88" s="23" t="s">
        <v>14</v>
      </c>
      <c r="E88" s="23" t="s">
        <v>16</v>
      </c>
    </row>
    <row r="89" ht="15.75" customHeight="1">
      <c r="A89" s="23">
        <v>30.0</v>
      </c>
      <c r="B89" s="24" t="s">
        <v>60</v>
      </c>
      <c r="C89" s="26">
        <v>8600.0</v>
      </c>
      <c r="D89" s="23" t="s">
        <v>14</v>
      </c>
      <c r="E89" s="23" t="s">
        <v>16</v>
      </c>
    </row>
    <row r="90" ht="15.75" customHeight="1">
      <c r="A90" s="23">
        <v>31.0</v>
      </c>
      <c r="B90" s="24" t="s">
        <v>61</v>
      </c>
      <c r="C90" s="26">
        <v>7000.0</v>
      </c>
      <c r="D90" s="23" t="s">
        <v>14</v>
      </c>
      <c r="E90" s="23" t="s">
        <v>16</v>
      </c>
    </row>
    <row r="91" ht="15.75" customHeight="1">
      <c r="A91" s="23">
        <v>32.0</v>
      </c>
      <c r="B91" s="24" t="s">
        <v>62</v>
      </c>
      <c r="C91" s="26">
        <v>9900.0</v>
      </c>
      <c r="D91" s="23" t="s">
        <v>14</v>
      </c>
      <c r="E91" s="23" t="s">
        <v>16</v>
      </c>
    </row>
    <row r="92" ht="15.75" customHeight="1">
      <c r="A92" s="23">
        <v>33.0</v>
      </c>
      <c r="B92" s="24" t="s">
        <v>63</v>
      </c>
      <c r="C92" s="26">
        <v>1700.0</v>
      </c>
      <c r="D92" s="23" t="s">
        <v>14</v>
      </c>
      <c r="E92" s="23" t="s">
        <v>16</v>
      </c>
    </row>
    <row r="93" ht="15.75" customHeight="1">
      <c r="A93" s="23">
        <v>34.0</v>
      </c>
      <c r="B93" s="24" t="s">
        <v>64</v>
      </c>
      <c r="C93" s="26">
        <v>4000.0</v>
      </c>
      <c r="D93" s="23" t="s">
        <v>14</v>
      </c>
      <c r="E93" s="23" t="s">
        <v>16</v>
      </c>
    </row>
    <row r="94" ht="15.75" customHeight="1">
      <c r="A94" s="23">
        <v>35.0</v>
      </c>
      <c r="B94" s="24" t="s">
        <v>65</v>
      </c>
      <c r="C94" s="26">
        <v>8000.0</v>
      </c>
      <c r="D94" s="23" t="s">
        <v>14</v>
      </c>
      <c r="E94" s="23" t="s">
        <v>16</v>
      </c>
    </row>
    <row r="95" ht="15.75" customHeight="1">
      <c r="A95" s="23">
        <v>36.0</v>
      </c>
      <c r="B95" s="24" t="s">
        <v>66</v>
      </c>
      <c r="C95" s="26">
        <v>10000.0</v>
      </c>
      <c r="D95" s="23" t="s">
        <v>14</v>
      </c>
      <c r="E95" s="23" t="s">
        <v>16</v>
      </c>
    </row>
    <row r="96" ht="15.75" customHeight="1">
      <c r="A96" s="23">
        <v>37.0</v>
      </c>
      <c r="B96" s="24" t="s">
        <v>67</v>
      </c>
      <c r="C96" s="26">
        <v>5000.0</v>
      </c>
      <c r="D96" s="23" t="s">
        <v>14</v>
      </c>
      <c r="E96" s="23" t="s">
        <v>16</v>
      </c>
    </row>
    <row r="97" ht="15.75" customHeight="1">
      <c r="A97" s="23">
        <v>38.0</v>
      </c>
      <c r="B97" s="24" t="s">
        <v>68</v>
      </c>
      <c r="C97" s="26">
        <v>5000.0</v>
      </c>
      <c r="D97" s="23" t="s">
        <v>14</v>
      </c>
      <c r="E97" s="23" t="s">
        <v>16</v>
      </c>
    </row>
    <row r="98" ht="15.75" customHeight="1">
      <c r="A98" s="23">
        <v>39.0</v>
      </c>
      <c r="B98" s="24" t="s">
        <v>69</v>
      </c>
      <c r="C98" s="26">
        <v>7000.0</v>
      </c>
      <c r="D98" s="23" t="s">
        <v>14</v>
      </c>
      <c r="E98" s="23" t="s">
        <v>16</v>
      </c>
    </row>
    <row r="99" ht="15.75" customHeight="1">
      <c r="A99" s="23">
        <v>40.0</v>
      </c>
      <c r="B99" s="24" t="s">
        <v>70</v>
      </c>
      <c r="C99" s="26">
        <v>1000.0</v>
      </c>
      <c r="D99" s="23" t="s">
        <v>14</v>
      </c>
      <c r="E99" s="23" t="s">
        <v>16</v>
      </c>
    </row>
    <row r="100" ht="15.75" customHeight="1">
      <c r="A100" s="23">
        <v>41.0</v>
      </c>
      <c r="B100" s="24" t="s">
        <v>71</v>
      </c>
      <c r="C100" s="26">
        <v>3000.0</v>
      </c>
      <c r="D100" s="23" t="s">
        <v>14</v>
      </c>
      <c r="E100" s="23" t="s">
        <v>16</v>
      </c>
    </row>
    <row r="101" ht="15.75" customHeight="1">
      <c r="A101" s="23">
        <v>42.0</v>
      </c>
      <c r="B101" s="24" t="s">
        <v>72</v>
      </c>
      <c r="C101" s="26">
        <v>5000.0</v>
      </c>
      <c r="D101" s="23" t="s">
        <v>14</v>
      </c>
      <c r="E101" s="23" t="s">
        <v>16</v>
      </c>
    </row>
    <row r="102" ht="15.75" customHeight="1">
      <c r="A102" s="23">
        <v>43.0</v>
      </c>
      <c r="B102" s="24" t="s">
        <v>73</v>
      </c>
      <c r="C102" s="26">
        <v>8000.0</v>
      </c>
      <c r="D102" s="23" t="s">
        <v>14</v>
      </c>
      <c r="E102" s="23" t="s">
        <v>16</v>
      </c>
    </row>
    <row r="103" ht="15.75" customHeight="1">
      <c r="A103" s="23">
        <v>44.0</v>
      </c>
      <c r="B103" s="24" t="s">
        <v>74</v>
      </c>
      <c r="C103" s="26">
        <v>10000.0</v>
      </c>
      <c r="D103" s="23" t="s">
        <v>14</v>
      </c>
      <c r="E103" s="23" t="s">
        <v>16</v>
      </c>
    </row>
    <row r="104" ht="15.75" customHeight="1">
      <c r="A104" s="23">
        <v>45.0</v>
      </c>
      <c r="B104" s="24" t="s">
        <v>75</v>
      </c>
      <c r="C104" s="26">
        <v>18000.0</v>
      </c>
      <c r="D104" s="23" t="s">
        <v>14</v>
      </c>
      <c r="E104" s="23" t="s">
        <v>16</v>
      </c>
    </row>
    <row r="105" ht="15.75" customHeight="1">
      <c r="A105" s="23">
        <v>46.0</v>
      </c>
      <c r="B105" s="24" t="s">
        <v>76</v>
      </c>
      <c r="C105" s="26">
        <v>4200.0</v>
      </c>
      <c r="D105" s="23" t="s">
        <v>14</v>
      </c>
      <c r="E105" s="23" t="s">
        <v>16</v>
      </c>
    </row>
    <row r="106" ht="15.75" customHeight="1">
      <c r="A106" s="23">
        <v>47.0</v>
      </c>
      <c r="B106" s="24" t="s">
        <v>77</v>
      </c>
      <c r="C106" s="26">
        <v>7200.0</v>
      </c>
      <c r="D106" s="23" t="s">
        <v>14</v>
      </c>
      <c r="E106" s="23" t="s">
        <v>16</v>
      </c>
    </row>
    <row r="107" ht="15.75" customHeight="1">
      <c r="A107" s="23">
        <v>48.0</v>
      </c>
      <c r="B107" s="24" t="s">
        <v>78</v>
      </c>
      <c r="C107" s="26">
        <v>4200.0</v>
      </c>
      <c r="D107" s="23" t="s">
        <v>14</v>
      </c>
      <c r="E107" s="23" t="s">
        <v>16</v>
      </c>
    </row>
    <row r="108" ht="15.75" customHeight="1">
      <c r="A108" s="23">
        <v>49.0</v>
      </c>
      <c r="B108" s="24" t="s">
        <v>79</v>
      </c>
      <c r="C108" s="26">
        <v>4000.0</v>
      </c>
      <c r="D108" s="23" t="s">
        <v>14</v>
      </c>
      <c r="E108" s="23" t="s">
        <v>16</v>
      </c>
    </row>
    <row r="109" ht="15.75" customHeight="1">
      <c r="A109" s="23">
        <v>50.0</v>
      </c>
      <c r="B109" s="24" t="s">
        <v>80</v>
      </c>
      <c r="C109" s="26">
        <v>4500.0</v>
      </c>
      <c r="D109" s="23" t="s">
        <v>14</v>
      </c>
      <c r="E109" s="23" t="s">
        <v>16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E4"/>
    <mergeCell ref="A58:E58"/>
    <mergeCell ref="G11:H11"/>
    <mergeCell ref="G15:H15"/>
    <mergeCell ref="G19:H1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6.0"/>
    <col customWidth="1" min="4" max="4" width="8.71"/>
    <col customWidth="1" min="5" max="5" width="32.14"/>
    <col customWidth="1" min="6" max="6" width="44.57"/>
    <col customWidth="1" min="7" max="26" width="8.71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4</v>
      </c>
      <c r="B4" s="5" t="s">
        <v>5</v>
      </c>
      <c r="C4" s="5" t="s">
        <v>6</v>
      </c>
      <c r="D4" s="2"/>
      <c r="E4" s="1" t="s">
        <v>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1.0</v>
      </c>
      <c r="B5" s="8">
        <v>1633.0</v>
      </c>
      <c r="C5" s="8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2.0</v>
      </c>
      <c r="B6" s="8">
        <v>1782.0</v>
      </c>
      <c r="C6" s="8" t="s">
        <v>12</v>
      </c>
      <c r="D6" s="2"/>
      <c r="E6" s="11" t="s">
        <v>12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3.0</v>
      </c>
      <c r="B7" s="8">
        <v>2348.0</v>
      </c>
      <c r="C7" s="8" t="s">
        <v>12</v>
      </c>
      <c r="D7" s="2"/>
      <c r="E7" s="13" t="s">
        <v>16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4.0</v>
      </c>
      <c r="B8" s="8">
        <v>2187.0</v>
      </c>
      <c r="C8" s="8" t="s">
        <v>12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5.0</v>
      </c>
      <c r="B9" s="8">
        <v>1543.0</v>
      </c>
      <c r="C9" s="8" t="s">
        <v>12</v>
      </c>
      <c r="D9" s="2"/>
      <c r="E9" s="16" t="s">
        <v>23</v>
      </c>
      <c r="F9" s="1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6.0</v>
      </c>
      <c r="B10" s="8">
        <v>1253.0</v>
      </c>
      <c r="C10" s="8" t="s">
        <v>12</v>
      </c>
      <c r="D10" s="2"/>
      <c r="E10" s="18" t="s">
        <v>26</v>
      </c>
      <c r="F10" s="19">
        <f>COUNT(B5:B19)</f>
        <v>15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7.0</v>
      </c>
      <c r="B11" s="8">
        <v>1467.0</v>
      </c>
      <c r="C11" s="8" t="s">
        <v>12</v>
      </c>
      <c r="D11" s="2"/>
      <c r="E11" s="18" t="s">
        <v>29</v>
      </c>
      <c r="F11" s="19">
        <f>AVERAGE(B5:B19)</f>
        <v>1521.6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8.0</v>
      </c>
      <c r="B12" s="8">
        <v>1328.0</v>
      </c>
      <c r="C12" s="8" t="s">
        <v>12</v>
      </c>
      <c r="D12" s="2"/>
      <c r="E12" s="18" t="s">
        <v>30</v>
      </c>
      <c r="F12" s="19">
        <f>STDEV(B5:B19)</f>
        <v>361.7123561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9.0</v>
      </c>
      <c r="B13" s="8">
        <v>1654.0</v>
      </c>
      <c r="C13" s="8" t="s">
        <v>12</v>
      </c>
      <c r="D13" s="2"/>
      <c r="E13" s="18" t="s">
        <v>31</v>
      </c>
      <c r="F13" s="19">
        <f>MIN(B5:B19)</f>
        <v>989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10.0</v>
      </c>
      <c r="B14" s="8">
        <v>1299.0</v>
      </c>
      <c r="C14" s="8" t="s">
        <v>12</v>
      </c>
      <c r="D14" s="2"/>
      <c r="E14" s="18" t="s">
        <v>35</v>
      </c>
      <c r="F14" s="19">
        <f>MAX(B5:B19)</f>
        <v>2348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11.0</v>
      </c>
      <c r="B15" s="8">
        <v>989.0</v>
      </c>
      <c r="C15" s="8" t="s">
        <v>12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12.0</v>
      </c>
      <c r="B16" s="8">
        <v>1244.0</v>
      </c>
      <c r="C16" s="8" t="s">
        <v>12</v>
      </c>
      <c r="D16" s="2"/>
      <c r="E16" s="21" t="s">
        <v>39</v>
      </c>
      <c r="F16" s="17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13.0</v>
      </c>
      <c r="B17" s="8">
        <v>1322.0</v>
      </c>
      <c r="C17" s="8" t="s">
        <v>12</v>
      </c>
      <c r="D17" s="2"/>
      <c r="E17" s="18" t="s">
        <v>26</v>
      </c>
      <c r="F17" s="19">
        <f>COUNT(B22:B106)</f>
        <v>85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14.0</v>
      </c>
      <c r="B18" s="8">
        <v>1455.0</v>
      </c>
      <c r="C18" s="8" t="s">
        <v>12</v>
      </c>
      <c r="D18" s="2"/>
      <c r="E18" s="18" t="s">
        <v>29</v>
      </c>
      <c r="F18" s="19">
        <f>AVERAGE(B22:B106)</f>
        <v>1688.905882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15.0</v>
      </c>
      <c r="B19" s="8">
        <v>1320.0</v>
      </c>
      <c r="C19" s="8" t="s">
        <v>12</v>
      </c>
      <c r="D19" s="2"/>
      <c r="E19" s="18" t="s">
        <v>30</v>
      </c>
      <c r="F19" s="19">
        <f>STDEV(B22:B106)</f>
        <v>437.7869025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18" t="s">
        <v>31</v>
      </c>
      <c r="F20" s="19">
        <f>MIN(B22:B106)</f>
        <v>1008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5" t="s">
        <v>44</v>
      </c>
      <c r="B21" s="6"/>
      <c r="C21" s="7"/>
      <c r="D21" s="2"/>
      <c r="E21" s="18" t="s">
        <v>35</v>
      </c>
      <c r="F21" s="19">
        <f>MAX(B22:B106)</f>
        <v>2348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3">
        <v>16.0</v>
      </c>
      <c r="B22" s="23">
        <v>1826.0</v>
      </c>
      <c r="C22" s="23" t="s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3">
        <v>17.0</v>
      </c>
      <c r="B23" s="23">
        <v>1638.0</v>
      </c>
      <c r="C23" s="23" t="s">
        <v>16</v>
      </c>
      <c r="D23" s="2"/>
      <c r="E23" s="27" t="s">
        <v>46</v>
      </c>
      <c r="F23" s="1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3">
        <v>18.0</v>
      </c>
      <c r="B24" s="23">
        <v>2292.0</v>
      </c>
      <c r="C24" s="23" t="s">
        <v>16</v>
      </c>
      <c r="D24" s="2"/>
      <c r="E24" s="18" t="s">
        <v>26</v>
      </c>
      <c r="F24" s="19">
        <f>COUNT(B5:B106)</f>
        <v>100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3">
        <v>19.0</v>
      </c>
      <c r="B25" s="23">
        <v>1027.0</v>
      </c>
      <c r="C25" s="23" t="s">
        <v>16</v>
      </c>
      <c r="D25" s="2"/>
      <c r="E25" s="18" t="s">
        <v>29</v>
      </c>
      <c r="F25" s="19">
        <f>AVERAGE(B5:B106)</f>
        <v>1663.81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3">
        <v>20.0</v>
      </c>
      <c r="B26" s="23">
        <v>1407.0</v>
      </c>
      <c r="C26" s="23" t="s">
        <v>16</v>
      </c>
      <c r="D26" s="2"/>
      <c r="E26" s="18" t="s">
        <v>30</v>
      </c>
      <c r="F26" s="19">
        <f>STDEV(B5:B106)</f>
        <v>429.7968676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3">
        <v>21.0</v>
      </c>
      <c r="B27" s="23">
        <v>2150.0</v>
      </c>
      <c r="C27" s="23" t="s">
        <v>16</v>
      </c>
      <c r="D27" s="2"/>
      <c r="E27" s="18" t="s">
        <v>31</v>
      </c>
      <c r="F27" s="19">
        <f>MIN(B5:B106)</f>
        <v>989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3">
        <v>22.0</v>
      </c>
      <c r="B28" s="23">
        <v>1714.0</v>
      </c>
      <c r="C28" s="23" t="s">
        <v>16</v>
      </c>
      <c r="D28" s="2"/>
      <c r="E28" s="18" t="s">
        <v>35</v>
      </c>
      <c r="F28" s="19">
        <f>MAX(B5:B106)</f>
        <v>2348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3">
        <v>23.0</v>
      </c>
      <c r="B29" s="23">
        <v>1679.0</v>
      </c>
      <c r="C29" s="23" t="s">
        <v>16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3">
        <v>24.0</v>
      </c>
      <c r="B30" s="23">
        <v>1352.0</v>
      </c>
      <c r="C30" s="23" t="s">
        <v>16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3">
        <v>25.0</v>
      </c>
      <c r="B31" s="23">
        <v>1981.0</v>
      </c>
      <c r="C31" s="23" t="s">
        <v>16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3">
        <v>26.0</v>
      </c>
      <c r="B32" s="23">
        <v>1692.0</v>
      </c>
      <c r="C32" s="23" t="s">
        <v>16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3">
        <v>27.0</v>
      </c>
      <c r="B33" s="23">
        <v>2245.0</v>
      </c>
      <c r="C33" s="23" t="s">
        <v>16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3">
        <v>28.0</v>
      </c>
      <c r="B34" s="23">
        <v>1203.0</v>
      </c>
      <c r="C34" s="23" t="s">
        <v>16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3">
        <v>29.0</v>
      </c>
      <c r="B35" s="23">
        <v>1693.0</v>
      </c>
      <c r="C35" s="23" t="s">
        <v>16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3">
        <v>30.0</v>
      </c>
      <c r="B36" s="23">
        <v>1550.0</v>
      </c>
      <c r="C36" s="23" t="s">
        <v>16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3">
        <v>31.0</v>
      </c>
      <c r="B37" s="23">
        <v>2077.0</v>
      </c>
      <c r="C37" s="23" t="s">
        <v>16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3">
        <v>32.0</v>
      </c>
      <c r="B38" s="23">
        <v>1661.0</v>
      </c>
      <c r="C38" s="23" t="s">
        <v>16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3">
        <v>33.0</v>
      </c>
      <c r="B39" s="23">
        <v>1200.0</v>
      </c>
      <c r="C39" s="23" t="s">
        <v>16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3">
        <v>34.0</v>
      </c>
      <c r="B40" s="23">
        <v>1102.0</v>
      </c>
      <c r="C40" s="23" t="s">
        <v>16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3">
        <v>35.0</v>
      </c>
      <c r="B41" s="23">
        <v>2052.0</v>
      </c>
      <c r="C41" s="23" t="s">
        <v>16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3">
        <v>36.0</v>
      </c>
      <c r="B42" s="23">
        <v>2152.0</v>
      </c>
      <c r="C42" s="23" t="s">
        <v>16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3">
        <v>37.0</v>
      </c>
      <c r="B43" s="23">
        <v>2280.0</v>
      </c>
      <c r="C43" s="23" t="s">
        <v>16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3">
        <v>38.0</v>
      </c>
      <c r="B44" s="23">
        <v>1093.0</v>
      </c>
      <c r="C44" s="23" t="s">
        <v>16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3">
        <v>39.0</v>
      </c>
      <c r="B45" s="23">
        <v>2319.0</v>
      </c>
      <c r="C45" s="23" t="s">
        <v>16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3">
        <v>40.0</v>
      </c>
      <c r="B46" s="23">
        <v>1759.0</v>
      </c>
      <c r="C46" s="23" t="s">
        <v>16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3">
        <v>41.0</v>
      </c>
      <c r="B47" s="23">
        <v>1454.0</v>
      </c>
      <c r="C47" s="23" t="s">
        <v>16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3">
        <v>42.0</v>
      </c>
      <c r="B48" s="23">
        <v>1728.0</v>
      </c>
      <c r="C48" s="23" t="s">
        <v>16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3">
        <v>43.0</v>
      </c>
      <c r="B49" s="23">
        <v>1364.0</v>
      </c>
      <c r="C49" s="23" t="s">
        <v>16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3">
        <v>44.0</v>
      </c>
      <c r="B50" s="23">
        <v>2161.0</v>
      </c>
      <c r="C50" s="23" t="s">
        <v>16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3">
        <v>45.0</v>
      </c>
      <c r="B51" s="23">
        <v>2238.0</v>
      </c>
      <c r="C51" s="23" t="s">
        <v>16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3">
        <v>46.0</v>
      </c>
      <c r="B52" s="23">
        <v>1638.0</v>
      </c>
      <c r="C52" s="23" t="s">
        <v>16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3">
        <v>47.0</v>
      </c>
      <c r="B53" s="23">
        <v>1536.0</v>
      </c>
      <c r="C53" s="23" t="s">
        <v>16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3">
        <v>48.0</v>
      </c>
      <c r="B54" s="23">
        <v>1322.0</v>
      </c>
      <c r="C54" s="23" t="s">
        <v>16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3">
        <v>49.0</v>
      </c>
      <c r="B55" s="23">
        <v>1278.0</v>
      </c>
      <c r="C55" s="23" t="s">
        <v>16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3">
        <v>50.0</v>
      </c>
      <c r="B56" s="23">
        <v>2293.0</v>
      </c>
      <c r="C56" s="23" t="s">
        <v>16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3">
        <v>51.0</v>
      </c>
      <c r="B57" s="23">
        <v>1043.0</v>
      </c>
      <c r="C57" s="23" t="s">
        <v>16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3">
        <v>52.0</v>
      </c>
      <c r="B58" s="23">
        <v>1327.0</v>
      </c>
      <c r="C58" s="23" t="s">
        <v>16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3">
        <v>53.0</v>
      </c>
      <c r="B59" s="23">
        <v>2348.0</v>
      </c>
      <c r="C59" s="23" t="s">
        <v>16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3">
        <v>54.0</v>
      </c>
      <c r="B60" s="23">
        <v>1329.0</v>
      </c>
      <c r="C60" s="23" t="s">
        <v>16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3">
        <v>55.0</v>
      </c>
      <c r="B61" s="23">
        <v>1376.0</v>
      </c>
      <c r="C61" s="23" t="s">
        <v>16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3">
        <v>56.0</v>
      </c>
      <c r="B62" s="23">
        <v>2163.0</v>
      </c>
      <c r="C62" s="23" t="s">
        <v>16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3">
        <v>57.0</v>
      </c>
      <c r="B63" s="23">
        <v>2057.0</v>
      </c>
      <c r="C63" s="23" t="s">
        <v>16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3">
        <v>58.0</v>
      </c>
      <c r="B64" s="23">
        <v>2167.0</v>
      </c>
      <c r="C64" s="23" t="s">
        <v>16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3">
        <v>59.0</v>
      </c>
      <c r="B65" s="23">
        <v>1092.0</v>
      </c>
      <c r="C65" s="23" t="s">
        <v>16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3">
        <v>60.0</v>
      </c>
      <c r="B66" s="23">
        <v>1878.0</v>
      </c>
      <c r="C66" s="23" t="s">
        <v>16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3">
        <v>61.0</v>
      </c>
      <c r="B67" s="23">
        <v>1219.0</v>
      </c>
      <c r="C67" s="23" t="s">
        <v>16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3">
        <v>62.0</v>
      </c>
      <c r="B68" s="23">
        <v>1254.0</v>
      </c>
      <c r="C68" s="23" t="s">
        <v>16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3">
        <v>63.0</v>
      </c>
      <c r="B69" s="23">
        <v>1013.0</v>
      </c>
      <c r="C69" s="23" t="s">
        <v>16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3">
        <v>64.0</v>
      </c>
      <c r="B70" s="23">
        <v>2339.0</v>
      </c>
      <c r="C70" s="23" t="s">
        <v>16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3">
        <v>65.0</v>
      </c>
      <c r="B71" s="23">
        <v>1771.0</v>
      </c>
      <c r="C71" s="23" t="s">
        <v>16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3">
        <v>66.0</v>
      </c>
      <c r="B72" s="23">
        <v>2158.0</v>
      </c>
      <c r="C72" s="23" t="s">
        <v>16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3">
        <v>67.0</v>
      </c>
      <c r="B73" s="23">
        <v>1227.0</v>
      </c>
      <c r="C73" s="23" t="s">
        <v>16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3">
        <v>68.0</v>
      </c>
      <c r="B74" s="23">
        <v>2206.0</v>
      </c>
      <c r="C74" s="23" t="s">
        <v>16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3">
        <v>69.0</v>
      </c>
      <c r="B75" s="23">
        <v>1846.0</v>
      </c>
      <c r="C75" s="23" t="s">
        <v>16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3">
        <v>70.0</v>
      </c>
      <c r="B76" s="23">
        <v>2031.0</v>
      </c>
      <c r="C76" s="23" t="s">
        <v>16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3">
        <v>71.0</v>
      </c>
      <c r="B77" s="23">
        <v>1008.0</v>
      </c>
      <c r="C77" s="23" t="s">
        <v>16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3">
        <v>72.0</v>
      </c>
      <c r="B78" s="23">
        <v>1872.0</v>
      </c>
      <c r="C78" s="23" t="s">
        <v>16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3">
        <v>73.0</v>
      </c>
      <c r="B79" s="23">
        <v>1145.0</v>
      </c>
      <c r="C79" s="23" t="s">
        <v>16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3">
        <v>74.0</v>
      </c>
      <c r="B80" s="23">
        <v>1949.0</v>
      </c>
      <c r="C80" s="23" t="s">
        <v>16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3">
        <v>75.0</v>
      </c>
      <c r="B81" s="23">
        <v>1882.0</v>
      </c>
      <c r="C81" s="23" t="s">
        <v>16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3">
        <v>76.0</v>
      </c>
      <c r="B82" s="23">
        <v>2113.0</v>
      </c>
      <c r="C82" s="23" t="s">
        <v>16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3">
        <v>77.0</v>
      </c>
      <c r="B83" s="23">
        <v>2311.0</v>
      </c>
      <c r="C83" s="23" t="s">
        <v>16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3">
        <v>78.0</v>
      </c>
      <c r="B84" s="23">
        <v>1602.0</v>
      </c>
      <c r="C84" s="23" t="s">
        <v>16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3">
        <v>79.0</v>
      </c>
      <c r="B85" s="23">
        <v>2329.0</v>
      </c>
      <c r="C85" s="23" t="s">
        <v>16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3">
        <v>80.0</v>
      </c>
      <c r="B86" s="23">
        <v>1339.0</v>
      </c>
      <c r="C86" s="23" t="s">
        <v>16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3">
        <v>81.0</v>
      </c>
      <c r="B87" s="23">
        <v>1466.0</v>
      </c>
      <c r="C87" s="23" t="s">
        <v>16</v>
      </c>
      <c r="D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3">
        <v>82.0</v>
      </c>
      <c r="B88" s="23">
        <v>1700.0</v>
      </c>
      <c r="C88" s="23" t="s">
        <v>16</v>
      </c>
      <c r="D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3">
        <v>83.0</v>
      </c>
      <c r="B89" s="23">
        <v>2322.0</v>
      </c>
      <c r="C89" s="23" t="s">
        <v>16</v>
      </c>
      <c r="D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3">
        <v>84.0</v>
      </c>
      <c r="B90" s="23">
        <v>1355.0</v>
      </c>
      <c r="C90" s="23" t="s">
        <v>16</v>
      </c>
      <c r="D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3">
        <v>85.0</v>
      </c>
      <c r="B91" s="23">
        <v>1037.0</v>
      </c>
      <c r="C91" s="23" t="s">
        <v>16</v>
      </c>
      <c r="D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3">
        <v>86.0</v>
      </c>
      <c r="B92" s="23">
        <v>1244.0</v>
      </c>
      <c r="C92" s="23" t="s">
        <v>16</v>
      </c>
      <c r="D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3">
        <v>87.0</v>
      </c>
      <c r="B93" s="23">
        <v>2121.0</v>
      </c>
      <c r="C93" s="23" t="s">
        <v>16</v>
      </c>
      <c r="D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3">
        <v>88.0</v>
      </c>
      <c r="B94" s="23">
        <v>2094.0</v>
      </c>
      <c r="C94" s="23" t="s">
        <v>16</v>
      </c>
      <c r="D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3">
        <v>89.0</v>
      </c>
      <c r="B95" s="23">
        <v>2187.0</v>
      </c>
      <c r="C95" s="23" t="s">
        <v>16</v>
      </c>
      <c r="D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3">
        <v>90.0</v>
      </c>
      <c r="B96" s="23">
        <v>2060.0</v>
      </c>
      <c r="C96" s="23" t="s">
        <v>16</v>
      </c>
      <c r="D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3">
        <v>91.0</v>
      </c>
      <c r="B97" s="23">
        <v>1023.0</v>
      </c>
      <c r="C97" s="23" t="s">
        <v>16</v>
      </c>
      <c r="D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3">
        <v>92.0</v>
      </c>
      <c r="B98" s="23">
        <v>1111.0</v>
      </c>
      <c r="C98" s="23" t="s">
        <v>16</v>
      </c>
      <c r="D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3">
        <v>93.0</v>
      </c>
      <c r="B99" s="23">
        <v>1119.0</v>
      </c>
      <c r="C99" s="23" t="s">
        <v>16</v>
      </c>
      <c r="D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3">
        <v>94.0</v>
      </c>
      <c r="B100" s="23">
        <v>1284.0</v>
      </c>
      <c r="C100" s="23" t="s">
        <v>16</v>
      </c>
      <c r="D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3">
        <v>95.0</v>
      </c>
      <c r="B101" s="23">
        <v>1778.0</v>
      </c>
      <c r="C101" s="23" t="s">
        <v>16</v>
      </c>
      <c r="D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3">
        <v>96.0</v>
      </c>
      <c r="B102" s="23">
        <v>2308.0</v>
      </c>
      <c r="C102" s="23" t="s">
        <v>16</v>
      </c>
      <c r="D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3">
        <v>97.0</v>
      </c>
      <c r="B103" s="23">
        <v>1384.0</v>
      </c>
      <c r="C103" s="23" t="s">
        <v>16</v>
      </c>
      <c r="D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3">
        <v>98.0</v>
      </c>
      <c r="B104" s="23">
        <v>1253.0</v>
      </c>
      <c r="C104" s="23" t="s">
        <v>16</v>
      </c>
      <c r="D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3">
        <v>99.0</v>
      </c>
      <c r="B105" s="23">
        <v>1116.0</v>
      </c>
      <c r="C105" s="23" t="s">
        <v>16</v>
      </c>
      <c r="D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3">
        <v>100.0</v>
      </c>
      <c r="B106" s="23">
        <v>2045.0</v>
      </c>
      <c r="C106" s="23" t="s">
        <v>16</v>
      </c>
      <c r="D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21:C21"/>
    <mergeCell ref="E9:F9"/>
    <mergeCell ref="E16:F16"/>
    <mergeCell ref="E23:F2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6.0"/>
    <col customWidth="1" min="4" max="4" width="8.71"/>
    <col customWidth="1" min="5" max="5" width="25.14"/>
    <col customWidth="1" min="6" max="6" width="57.0"/>
    <col customWidth="1" min="7" max="26" width="8.71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4</v>
      </c>
      <c r="B4" s="5" t="s">
        <v>5</v>
      </c>
      <c r="C4" s="5" t="s">
        <v>6</v>
      </c>
      <c r="D4" s="2"/>
      <c r="E4" s="1" t="s">
        <v>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v>1.0</v>
      </c>
      <c r="B5" s="8">
        <v>2387.0</v>
      </c>
      <c r="C5" s="8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v>2.0</v>
      </c>
      <c r="B6" s="8">
        <v>1875.0</v>
      </c>
      <c r="C6" s="8" t="s">
        <v>12</v>
      </c>
      <c r="D6" s="2"/>
      <c r="E6" s="11" t="s">
        <v>12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v>3.0</v>
      </c>
      <c r="B7" s="8">
        <v>2435.0</v>
      </c>
      <c r="C7" s="8" t="s">
        <v>12</v>
      </c>
      <c r="D7" s="2"/>
      <c r="E7" s="13" t="s">
        <v>16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v>4.0</v>
      </c>
      <c r="B8" s="8">
        <v>2377.0</v>
      </c>
      <c r="C8" s="8" t="s">
        <v>12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v>5.0</v>
      </c>
      <c r="B9" s="8">
        <v>2888.0</v>
      </c>
      <c r="C9" s="8" t="s">
        <v>12</v>
      </c>
      <c r="D9" s="2"/>
      <c r="E9" s="16" t="s">
        <v>20</v>
      </c>
      <c r="F9" s="1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v>6.0</v>
      </c>
      <c r="B10" s="8">
        <v>1890.0</v>
      </c>
      <c r="C10" s="8" t="s">
        <v>12</v>
      </c>
      <c r="D10" s="2"/>
      <c r="E10" s="18" t="s">
        <v>26</v>
      </c>
      <c r="F10" s="19">
        <f>COUNT(B5:B20)</f>
        <v>16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v>7.0</v>
      </c>
      <c r="B11" s="8">
        <v>1909.0</v>
      </c>
      <c r="C11" s="8" t="s">
        <v>12</v>
      </c>
      <c r="D11" s="2"/>
      <c r="E11" s="18" t="s">
        <v>29</v>
      </c>
      <c r="F11" s="19">
        <f>AVERAGE(B5:B20)</f>
        <v>2358.6875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v>8.0</v>
      </c>
      <c r="B12" s="8">
        <v>1999.0</v>
      </c>
      <c r="C12" s="8" t="s">
        <v>12</v>
      </c>
      <c r="D12" s="2"/>
      <c r="E12" s="18" t="s">
        <v>30</v>
      </c>
      <c r="F12" s="19">
        <f>STDEV(B5:B20)</f>
        <v>303.1905273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v>9.0</v>
      </c>
      <c r="B13" s="8">
        <v>2650.0</v>
      </c>
      <c r="C13" s="8" t="s">
        <v>12</v>
      </c>
      <c r="D13" s="2"/>
      <c r="E13" s="18" t="s">
        <v>31</v>
      </c>
      <c r="F13" s="19">
        <f>MIN(B5:B20)</f>
        <v>1875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v>10.0</v>
      </c>
      <c r="B14" s="8">
        <v>2543.0</v>
      </c>
      <c r="C14" s="8" t="s">
        <v>12</v>
      </c>
      <c r="D14" s="2"/>
      <c r="E14" s="18" t="s">
        <v>35</v>
      </c>
      <c r="F14" s="19">
        <f>MAX(B5:B20)</f>
        <v>2888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v>11.0</v>
      </c>
      <c r="B15" s="8">
        <v>2367.0</v>
      </c>
      <c r="C15" s="8" t="s">
        <v>12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v>12.0</v>
      </c>
      <c r="B16" s="8">
        <v>2745.0</v>
      </c>
      <c r="C16" s="8" t="s">
        <v>12</v>
      </c>
      <c r="D16" s="2"/>
      <c r="E16" s="21" t="s">
        <v>37</v>
      </c>
      <c r="F16" s="17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v>13.0</v>
      </c>
      <c r="B17" s="8">
        <v>2368.0</v>
      </c>
      <c r="C17" s="8" t="s">
        <v>12</v>
      </c>
      <c r="D17" s="2"/>
      <c r="E17" s="18" t="s">
        <v>26</v>
      </c>
      <c r="F17" s="19">
        <f>COUNT(B23:B106)</f>
        <v>84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v>14.0</v>
      </c>
      <c r="B18" s="8">
        <v>2543.0</v>
      </c>
      <c r="C18" s="8" t="s">
        <v>12</v>
      </c>
      <c r="D18" s="2"/>
      <c r="E18" s="18" t="s">
        <v>29</v>
      </c>
      <c r="F18" s="19">
        <f>AVERAGE(B23:B106)</f>
        <v>2333.25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v>15.0</v>
      </c>
      <c r="B19" s="8">
        <v>2422.0</v>
      </c>
      <c r="C19" s="8" t="s">
        <v>12</v>
      </c>
      <c r="D19" s="2"/>
      <c r="E19" s="18" t="s">
        <v>30</v>
      </c>
      <c r="F19" s="19">
        <f>STDEV(B23:B106)</f>
        <v>292.2249453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v>16.0</v>
      </c>
      <c r="B20" s="8">
        <v>2341.0</v>
      </c>
      <c r="C20" s="8" t="s">
        <v>12</v>
      </c>
      <c r="D20" s="2"/>
      <c r="E20" s="18" t="s">
        <v>31</v>
      </c>
      <c r="F20" s="19">
        <f>MIN(B23:B106)</f>
        <v>1883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18" t="s">
        <v>35</v>
      </c>
      <c r="F21" s="19">
        <f>MAX(B23:B106)</f>
        <v>2883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5" t="s">
        <v>44</v>
      </c>
      <c r="B22" s="6"/>
      <c r="C22" s="7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3">
        <v>17.0</v>
      </c>
      <c r="B23" s="23">
        <v>2097.0</v>
      </c>
      <c r="C23" s="23" t="s">
        <v>16</v>
      </c>
      <c r="D23" s="2"/>
      <c r="E23" s="27" t="s">
        <v>46</v>
      </c>
      <c r="F23" s="1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3">
        <v>18.0</v>
      </c>
      <c r="B24" s="23">
        <v>1891.0</v>
      </c>
      <c r="C24" s="23" t="s">
        <v>16</v>
      </c>
      <c r="D24" s="2"/>
      <c r="E24" s="18" t="s">
        <v>26</v>
      </c>
      <c r="F24" s="19">
        <f>COUNT(B5:B106)</f>
        <v>100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3">
        <v>19.0</v>
      </c>
      <c r="B25" s="23">
        <v>1898.0</v>
      </c>
      <c r="C25" s="23" t="s">
        <v>16</v>
      </c>
      <c r="D25" s="2"/>
      <c r="E25" s="18" t="s">
        <v>29</v>
      </c>
      <c r="F25" s="19">
        <f>AVERAGE(B5:B106)</f>
        <v>2337.32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3">
        <v>20.0</v>
      </c>
      <c r="B26" s="23">
        <v>2883.0</v>
      </c>
      <c r="C26" s="23" t="s">
        <v>16</v>
      </c>
      <c r="D26" s="2"/>
      <c r="E26" s="18" t="s">
        <v>30</v>
      </c>
      <c r="F26" s="19">
        <f>STDEV(B5:B106)</f>
        <v>292.5917582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3">
        <v>21.0</v>
      </c>
      <c r="B27" s="23">
        <v>1940.0</v>
      </c>
      <c r="C27" s="23" t="s">
        <v>16</v>
      </c>
      <c r="D27" s="2"/>
      <c r="E27" s="18" t="s">
        <v>31</v>
      </c>
      <c r="F27" s="19">
        <f>MIN(B5:B106)</f>
        <v>1875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3">
        <v>22.0</v>
      </c>
      <c r="B28" s="23">
        <v>2513.0</v>
      </c>
      <c r="C28" s="23" t="s">
        <v>16</v>
      </c>
      <c r="D28" s="2"/>
      <c r="E28" s="18" t="s">
        <v>35</v>
      </c>
      <c r="F28" s="19">
        <f>MAX(B5:B106)</f>
        <v>2888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3">
        <v>23.0</v>
      </c>
      <c r="B29" s="23">
        <v>2817.0</v>
      </c>
      <c r="C29" s="23" t="s">
        <v>16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3">
        <v>24.0</v>
      </c>
      <c r="B30" s="23">
        <v>1953.0</v>
      </c>
      <c r="C30" s="23" t="s">
        <v>16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3">
        <v>25.0</v>
      </c>
      <c r="B31" s="23">
        <v>2803.0</v>
      </c>
      <c r="C31" s="23" t="s">
        <v>16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3">
        <v>26.0</v>
      </c>
      <c r="B32" s="23">
        <v>2072.0</v>
      </c>
      <c r="C32" s="23" t="s">
        <v>16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3">
        <v>27.0</v>
      </c>
      <c r="B33" s="23">
        <v>1883.0</v>
      </c>
      <c r="C33" s="23" t="s">
        <v>16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3">
        <v>28.0</v>
      </c>
      <c r="B34" s="23">
        <v>2683.0</v>
      </c>
      <c r="C34" s="23" t="s">
        <v>16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3">
        <v>29.0</v>
      </c>
      <c r="B35" s="23">
        <v>2708.0</v>
      </c>
      <c r="C35" s="23" t="s">
        <v>16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3">
        <v>30.0</v>
      </c>
      <c r="B36" s="23">
        <v>2673.0</v>
      </c>
      <c r="C36" s="23" t="s">
        <v>16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3">
        <v>31.0</v>
      </c>
      <c r="B37" s="23">
        <v>2197.0</v>
      </c>
      <c r="C37" s="23" t="s">
        <v>16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3">
        <v>32.0</v>
      </c>
      <c r="B38" s="23">
        <v>2421.0</v>
      </c>
      <c r="C38" s="23" t="s">
        <v>16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3">
        <v>33.0</v>
      </c>
      <c r="B39" s="23">
        <v>2326.0</v>
      </c>
      <c r="C39" s="23" t="s">
        <v>16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3">
        <v>34.0</v>
      </c>
      <c r="B40" s="23">
        <v>2403.0</v>
      </c>
      <c r="C40" s="23" t="s">
        <v>16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3">
        <v>35.0</v>
      </c>
      <c r="B41" s="23">
        <v>2430.0</v>
      </c>
      <c r="C41" s="23" t="s">
        <v>16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3">
        <v>36.0</v>
      </c>
      <c r="B42" s="23">
        <v>2382.0</v>
      </c>
      <c r="C42" s="23" t="s">
        <v>16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3">
        <v>37.0</v>
      </c>
      <c r="B43" s="23">
        <v>2733.0</v>
      </c>
      <c r="C43" s="23" t="s">
        <v>16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3">
        <v>38.0</v>
      </c>
      <c r="B44" s="23">
        <v>2070.0</v>
      </c>
      <c r="C44" s="23" t="s">
        <v>16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3">
        <v>39.0</v>
      </c>
      <c r="B45" s="23">
        <v>1930.0</v>
      </c>
      <c r="C45" s="23" t="s">
        <v>16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3">
        <v>40.0</v>
      </c>
      <c r="B46" s="23">
        <v>1910.0</v>
      </c>
      <c r="C46" s="23" t="s">
        <v>16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3">
        <v>41.0</v>
      </c>
      <c r="B47" s="23">
        <v>2278.0</v>
      </c>
      <c r="C47" s="23" t="s">
        <v>16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3">
        <v>42.0</v>
      </c>
      <c r="B48" s="23">
        <v>2330.0</v>
      </c>
      <c r="C48" s="23" t="s">
        <v>16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3">
        <v>43.0</v>
      </c>
      <c r="B49" s="23">
        <v>2032.0</v>
      </c>
      <c r="C49" s="23" t="s">
        <v>16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3">
        <v>44.0</v>
      </c>
      <c r="B50" s="23">
        <v>2135.0</v>
      </c>
      <c r="C50" s="23" t="s">
        <v>16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3">
        <v>45.0</v>
      </c>
      <c r="B51" s="23">
        <v>2052.0</v>
      </c>
      <c r="C51" s="23" t="s">
        <v>16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3">
        <v>46.0</v>
      </c>
      <c r="B52" s="23">
        <v>2536.0</v>
      </c>
      <c r="C52" s="23" t="s">
        <v>16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3">
        <v>47.0</v>
      </c>
      <c r="B53" s="23">
        <v>2214.0</v>
      </c>
      <c r="C53" s="23" t="s">
        <v>16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3">
        <v>48.0</v>
      </c>
      <c r="B54" s="23">
        <v>2487.0</v>
      </c>
      <c r="C54" s="23" t="s">
        <v>16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3">
        <v>49.0</v>
      </c>
      <c r="B55" s="23">
        <v>2278.0</v>
      </c>
      <c r="C55" s="23" t="s">
        <v>16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3">
        <v>50.0</v>
      </c>
      <c r="B56" s="23">
        <v>2692.0</v>
      </c>
      <c r="C56" s="23" t="s">
        <v>16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3">
        <v>51.0</v>
      </c>
      <c r="B57" s="23">
        <v>1998.0</v>
      </c>
      <c r="C57" s="23" t="s">
        <v>16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3">
        <v>52.0</v>
      </c>
      <c r="B58" s="23">
        <v>2134.0</v>
      </c>
      <c r="C58" s="23" t="s">
        <v>16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3">
        <v>53.0</v>
      </c>
      <c r="B59" s="23">
        <v>2589.0</v>
      </c>
      <c r="C59" s="23" t="s">
        <v>16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3">
        <v>54.0</v>
      </c>
      <c r="B60" s="23">
        <v>2281.0</v>
      </c>
      <c r="C60" s="23" t="s">
        <v>16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3">
        <v>55.0</v>
      </c>
      <c r="B61" s="23">
        <v>2763.0</v>
      </c>
      <c r="C61" s="23" t="s">
        <v>16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3">
        <v>56.0</v>
      </c>
      <c r="B62" s="23">
        <v>2062.0</v>
      </c>
      <c r="C62" s="23" t="s">
        <v>16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3">
        <v>57.0</v>
      </c>
      <c r="B63" s="23">
        <v>1932.0</v>
      </c>
      <c r="C63" s="23" t="s">
        <v>16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3">
        <v>58.0</v>
      </c>
      <c r="B64" s="23">
        <v>2415.0</v>
      </c>
      <c r="C64" s="23" t="s">
        <v>16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3">
        <v>59.0</v>
      </c>
      <c r="B65" s="23">
        <v>2498.0</v>
      </c>
      <c r="C65" s="23" t="s">
        <v>16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3">
        <v>60.0</v>
      </c>
      <c r="B66" s="23">
        <v>2023.0</v>
      </c>
      <c r="C66" s="23" t="s">
        <v>16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3">
        <v>61.0</v>
      </c>
      <c r="B67" s="23">
        <v>1959.0</v>
      </c>
      <c r="C67" s="23" t="s">
        <v>16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3">
        <v>62.0</v>
      </c>
      <c r="B68" s="23">
        <v>2347.0</v>
      </c>
      <c r="C68" s="23" t="s">
        <v>16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3">
        <v>63.0</v>
      </c>
      <c r="B69" s="23">
        <v>2190.0</v>
      </c>
      <c r="C69" s="23" t="s">
        <v>16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3">
        <v>64.0</v>
      </c>
      <c r="B70" s="23">
        <v>1963.0</v>
      </c>
      <c r="C70" s="23" t="s">
        <v>16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3">
        <v>65.0</v>
      </c>
      <c r="B71" s="23">
        <v>2424.0</v>
      </c>
      <c r="C71" s="23" t="s">
        <v>16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3">
        <v>66.0</v>
      </c>
      <c r="B72" s="23">
        <v>2496.0</v>
      </c>
      <c r="C72" s="23" t="s">
        <v>16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3">
        <v>67.0</v>
      </c>
      <c r="B73" s="23">
        <v>2701.0</v>
      </c>
      <c r="C73" s="23" t="s">
        <v>16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3">
        <v>68.0</v>
      </c>
      <c r="B74" s="23">
        <v>2198.0</v>
      </c>
      <c r="C74" s="23" t="s">
        <v>16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3">
        <v>69.0</v>
      </c>
      <c r="B75" s="23">
        <v>2229.0</v>
      </c>
      <c r="C75" s="23" t="s">
        <v>16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3">
        <v>70.0</v>
      </c>
      <c r="B76" s="23">
        <v>1893.0</v>
      </c>
      <c r="C76" s="23" t="s">
        <v>16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3">
        <v>71.0</v>
      </c>
      <c r="B77" s="23">
        <v>2538.0</v>
      </c>
      <c r="C77" s="23" t="s">
        <v>16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3">
        <v>72.0</v>
      </c>
      <c r="B78" s="23">
        <v>2141.0</v>
      </c>
      <c r="C78" s="23" t="s">
        <v>16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3">
        <v>73.0</v>
      </c>
      <c r="B79" s="23">
        <v>2233.0</v>
      </c>
      <c r="C79" s="23" t="s">
        <v>16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3">
        <v>74.0</v>
      </c>
      <c r="B80" s="23">
        <v>2479.0</v>
      </c>
      <c r="C80" s="23" t="s">
        <v>16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3">
        <v>75.0</v>
      </c>
      <c r="B81" s="23">
        <v>2365.0</v>
      </c>
      <c r="C81" s="23" t="s">
        <v>16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3">
        <v>76.0</v>
      </c>
      <c r="B82" s="23">
        <v>2646.0</v>
      </c>
      <c r="C82" s="23" t="s">
        <v>16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3">
        <v>77.0</v>
      </c>
      <c r="B83" s="23">
        <v>2456.0</v>
      </c>
      <c r="C83" s="23" t="s">
        <v>16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3">
        <v>78.0</v>
      </c>
      <c r="B84" s="23">
        <v>2613.0</v>
      </c>
      <c r="C84" s="23" t="s">
        <v>16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3">
        <v>79.0</v>
      </c>
      <c r="B85" s="23">
        <v>2791.0</v>
      </c>
      <c r="C85" s="23" t="s">
        <v>16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3">
        <v>80.0</v>
      </c>
      <c r="B86" s="23">
        <v>2618.0</v>
      </c>
      <c r="C86" s="23" t="s">
        <v>16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3">
        <v>81.0</v>
      </c>
      <c r="B87" s="23">
        <v>2076.0</v>
      </c>
      <c r="C87" s="23" t="s">
        <v>16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3">
        <v>82.0</v>
      </c>
      <c r="B88" s="23">
        <v>2240.0</v>
      </c>
      <c r="C88" s="23" t="s">
        <v>16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3">
        <v>83.0</v>
      </c>
      <c r="B89" s="23">
        <v>2549.0</v>
      </c>
      <c r="C89" s="23" t="s">
        <v>16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3">
        <v>84.0</v>
      </c>
      <c r="B90" s="23">
        <v>2320.0</v>
      </c>
      <c r="C90" s="23" t="s">
        <v>16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3">
        <v>85.0</v>
      </c>
      <c r="B91" s="23">
        <v>2874.0</v>
      </c>
      <c r="C91" s="23" t="s">
        <v>16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3">
        <v>86.0</v>
      </c>
      <c r="B92" s="23">
        <v>2275.0</v>
      </c>
      <c r="C92" s="23" t="s">
        <v>16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3">
        <v>87.0</v>
      </c>
      <c r="B93" s="23">
        <v>1940.0</v>
      </c>
      <c r="C93" s="23" t="s">
        <v>16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3">
        <v>88.0</v>
      </c>
      <c r="B94" s="23">
        <v>2614.0</v>
      </c>
      <c r="C94" s="23" t="s">
        <v>16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3">
        <v>89.0</v>
      </c>
      <c r="B95" s="23">
        <v>1936.0</v>
      </c>
      <c r="C95" s="23" t="s">
        <v>16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3">
        <v>90.0</v>
      </c>
      <c r="B96" s="23">
        <v>2877.0</v>
      </c>
      <c r="C96" s="23" t="s">
        <v>16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3">
        <v>91.0</v>
      </c>
      <c r="B97" s="23">
        <v>2306.0</v>
      </c>
      <c r="C97" s="23" t="s">
        <v>16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3">
        <v>92.0</v>
      </c>
      <c r="B98" s="23">
        <v>2300.0</v>
      </c>
      <c r="C98" s="23" t="s">
        <v>16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3">
        <v>93.0</v>
      </c>
      <c r="B99" s="23">
        <v>2206.0</v>
      </c>
      <c r="C99" s="23" t="s">
        <v>16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3">
        <v>94.0</v>
      </c>
      <c r="B100" s="23">
        <v>2254.0</v>
      </c>
      <c r="C100" s="23" t="s">
        <v>16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3">
        <v>95.0</v>
      </c>
      <c r="B101" s="23">
        <v>2033.0</v>
      </c>
      <c r="C101" s="23" t="s">
        <v>16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3">
        <v>96.0</v>
      </c>
      <c r="B102" s="23">
        <v>2284.0</v>
      </c>
      <c r="C102" s="23" t="s">
        <v>16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3">
        <v>97.0</v>
      </c>
      <c r="B103" s="23">
        <v>2710.0</v>
      </c>
      <c r="C103" s="23" t="s">
        <v>16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3">
        <v>98.0</v>
      </c>
      <c r="B104" s="23">
        <v>2821.0</v>
      </c>
      <c r="C104" s="23" t="s">
        <v>16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3">
        <v>99.0</v>
      </c>
      <c r="B105" s="23">
        <v>2704.0</v>
      </c>
      <c r="C105" s="23" t="s">
        <v>16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3">
        <v>100.0</v>
      </c>
      <c r="B106" s="23">
        <v>2049.0</v>
      </c>
      <c r="C106" s="23" t="s">
        <v>16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22:C22"/>
    <mergeCell ref="E9:F9"/>
    <mergeCell ref="E16:F16"/>
    <mergeCell ref="E23:F2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2026-10-09T16:05:45Z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